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 Philipe\Documents\pnct\2-python\projetos\ciclos-vdr\resultados\"/>
    </mc:Choice>
  </mc:AlternateContent>
  <xr:revisionPtr revIDLastSave="0" documentId="13_ncr:1_{1A5DB853-0366-4A41-B0F9-C7C2D5D0DEA1}" xr6:coauthVersionLast="47" xr6:coauthVersionMax="47" xr10:uidLastSave="{00000000-0000-0000-0000-000000000000}"/>
  <bookViews>
    <workbookView xWindow="-120" yWindow="-120" windowWidth="29040" windowHeight="15720" activeTab="2" xr2:uid="{4A002672-6FA2-47DD-B600-22450BA2CE92}"/>
  </bookViews>
  <sheets>
    <sheet name="BD" sheetId="3" r:id="rId1"/>
    <sheet name="Por Lote e UF" sheetId="2" r:id="rId2"/>
    <sheet name="Dias Improdutivos" sheetId="4" r:id="rId3"/>
  </sheets>
  <definedNames>
    <definedName name="_xlnm._FilterDatabase" localSheetId="2" hidden="1">'Dias Improdutivos'!$N$1:$P$1422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2" i="4"/>
  <c r="C20" i="2"/>
  <c r="D20" i="2"/>
  <c r="E20" i="2"/>
  <c r="G20" i="2"/>
  <c r="H20" i="2"/>
  <c r="I20" i="2"/>
  <c r="J20" i="2"/>
  <c r="K20" i="2"/>
  <c r="L20" i="2"/>
  <c r="B9" i="4" l="1"/>
  <c r="C9" i="4" s="1"/>
  <c r="D9" i="4" s="1"/>
  <c r="H24" i="4"/>
  <c r="I24" i="4" s="1"/>
  <c r="J24" i="4" s="1"/>
  <c r="E21" i="4"/>
  <c r="F21" i="4" s="1"/>
  <c r="G21" i="4" s="1"/>
  <c r="H4" i="4"/>
  <c r="I4" i="4" s="1"/>
  <c r="J4" i="4" s="1"/>
  <c r="E14" i="4"/>
  <c r="F14" i="4" s="1"/>
  <c r="G14" i="4" s="1"/>
  <c r="H15" i="4"/>
  <c r="I15" i="4" s="1"/>
  <c r="J15" i="4" s="1"/>
  <c r="E17" i="4"/>
  <c r="F17" i="4" s="1"/>
  <c r="G17" i="4" s="1"/>
  <c r="B3" i="4"/>
  <c r="B7" i="4"/>
  <c r="C7" i="4" s="1"/>
  <c r="D7" i="4" s="1"/>
  <c r="H34" i="4"/>
  <c r="I34" i="4" s="1"/>
  <c r="J34" i="4" s="1"/>
  <c r="B19" i="4"/>
  <c r="C19" i="4" s="1"/>
  <c r="D19" i="4" s="1"/>
  <c r="E4" i="4"/>
  <c r="F4" i="4" s="1"/>
  <c r="G4" i="4" s="1"/>
  <c r="B32" i="4"/>
  <c r="C32" i="4" s="1"/>
  <c r="D32" i="4" s="1"/>
  <c r="B26" i="4"/>
  <c r="C26" i="4" s="1"/>
  <c r="D26" i="4" s="1"/>
  <c r="B20" i="4"/>
  <c r="C20" i="4" s="1"/>
  <c r="D20" i="4" s="1"/>
  <c r="B14" i="4"/>
  <c r="C14" i="4" s="1"/>
  <c r="D14" i="4" s="1"/>
  <c r="B8" i="4"/>
  <c r="C8" i="4" s="1"/>
  <c r="D8" i="4" s="1"/>
  <c r="E36" i="4"/>
  <c r="F36" i="4" s="1"/>
  <c r="G36" i="4" s="1"/>
  <c r="E31" i="4"/>
  <c r="F31" i="4" s="1"/>
  <c r="G31" i="4" s="1"/>
  <c r="E27" i="4"/>
  <c r="F27" i="4" s="1"/>
  <c r="G27" i="4" s="1"/>
  <c r="E22" i="4"/>
  <c r="F22" i="4" s="1"/>
  <c r="G22" i="4" s="1"/>
  <c r="E18" i="4"/>
  <c r="F18" i="4" s="1"/>
  <c r="G18" i="4" s="1"/>
  <c r="E13" i="4"/>
  <c r="F13" i="4" s="1"/>
  <c r="G13" i="4" s="1"/>
  <c r="E9" i="4"/>
  <c r="F9" i="4" s="1"/>
  <c r="G9" i="4" s="1"/>
  <c r="E5" i="4"/>
  <c r="F5" i="4" s="1"/>
  <c r="G5" i="4" s="1"/>
  <c r="H35" i="4"/>
  <c r="I35" i="4" s="1"/>
  <c r="J35" i="4" s="1"/>
  <c r="H30" i="4"/>
  <c r="I30" i="4" s="1"/>
  <c r="J30" i="4" s="1"/>
  <c r="H26" i="4"/>
  <c r="I26" i="4" s="1"/>
  <c r="J26" i="4" s="1"/>
  <c r="H21" i="4"/>
  <c r="I21" i="4" s="1"/>
  <c r="J21" i="4" s="1"/>
  <c r="H17" i="4"/>
  <c r="I17" i="4" s="1"/>
  <c r="J17" i="4" s="1"/>
  <c r="H12" i="4"/>
  <c r="I12" i="4" s="1"/>
  <c r="J12" i="4" s="1"/>
  <c r="H8" i="4"/>
  <c r="I8" i="4" s="1"/>
  <c r="J8" i="4" s="1"/>
  <c r="H25" i="4"/>
  <c r="I25" i="4" s="1"/>
  <c r="J25" i="4" s="1"/>
  <c r="H16" i="4"/>
  <c r="I16" i="4" s="1"/>
  <c r="J16" i="4" s="1"/>
  <c r="H7" i="4"/>
  <c r="I7" i="4" s="1"/>
  <c r="J7" i="4" s="1"/>
  <c r="H11" i="4"/>
  <c r="I11" i="4" s="1"/>
  <c r="J11" i="4" s="1"/>
  <c r="H6" i="4"/>
  <c r="I6" i="4" s="1"/>
  <c r="J6" i="4" s="1"/>
  <c r="E8" i="4"/>
  <c r="F8" i="4" s="1"/>
  <c r="G8" i="4" s="1"/>
  <c r="B36" i="4"/>
  <c r="C36" i="4" s="1"/>
  <c r="D36" i="4" s="1"/>
  <c r="B18" i="4"/>
  <c r="C18" i="4" s="1"/>
  <c r="D18" i="4" s="1"/>
  <c r="E25" i="4"/>
  <c r="F25" i="4" s="1"/>
  <c r="G25" i="4" s="1"/>
  <c r="E12" i="4"/>
  <c r="F12" i="4" s="1"/>
  <c r="G12" i="4" s="1"/>
  <c r="E7" i="4"/>
  <c r="F7" i="4" s="1"/>
  <c r="G7" i="4" s="1"/>
  <c r="H20" i="4"/>
  <c r="I20" i="4" s="1"/>
  <c r="J20" i="4" s="1"/>
  <c r="B35" i="4"/>
  <c r="C35" i="4" s="1"/>
  <c r="D35" i="4" s="1"/>
  <c r="B29" i="4"/>
  <c r="C29" i="4" s="1"/>
  <c r="D29" i="4" s="1"/>
  <c r="B23" i="4"/>
  <c r="C23" i="4" s="1"/>
  <c r="D23" i="4" s="1"/>
  <c r="B17" i="4"/>
  <c r="C17" i="4" s="1"/>
  <c r="D17" i="4" s="1"/>
  <c r="B11" i="4"/>
  <c r="C11" i="4" s="1"/>
  <c r="D11" i="4" s="1"/>
  <c r="B5" i="4"/>
  <c r="C5" i="4" s="1"/>
  <c r="D5" i="4" s="1"/>
  <c r="E3" i="4"/>
  <c r="E29" i="4"/>
  <c r="F29" i="4" s="1"/>
  <c r="G29" i="4" s="1"/>
  <c r="E20" i="4"/>
  <c r="F20" i="4" s="1"/>
  <c r="G20" i="4" s="1"/>
  <c r="E11" i="4"/>
  <c r="F11" i="4" s="1"/>
  <c r="G11" i="4" s="1"/>
  <c r="H28" i="4"/>
  <c r="I28" i="4" s="1"/>
  <c r="J28" i="4" s="1"/>
  <c r="H19" i="4"/>
  <c r="I19" i="4" s="1"/>
  <c r="J19" i="4" s="1"/>
  <c r="H10" i="4"/>
  <c r="I10" i="4" s="1"/>
  <c r="J10" i="4" s="1"/>
  <c r="B31" i="4"/>
  <c r="C31" i="4" s="1"/>
  <c r="D31" i="4" s="1"/>
  <c r="B13" i="4"/>
  <c r="C13" i="4" s="1"/>
  <c r="D13" i="4" s="1"/>
  <c r="E35" i="4"/>
  <c r="F35" i="4" s="1"/>
  <c r="G35" i="4" s="1"/>
  <c r="E26" i="4"/>
  <c r="F26" i="4" s="1"/>
  <c r="G26" i="4" s="1"/>
  <c r="B30" i="4"/>
  <c r="C30" i="4" s="1"/>
  <c r="D30" i="4" s="1"/>
  <c r="B6" i="4"/>
  <c r="C6" i="4" s="1"/>
  <c r="D6" i="4" s="1"/>
  <c r="E30" i="4"/>
  <c r="F30" i="4" s="1"/>
  <c r="G30" i="4" s="1"/>
  <c r="E16" i="4"/>
  <c r="F16" i="4" s="1"/>
  <c r="G16" i="4" s="1"/>
  <c r="H33" i="4"/>
  <c r="I33" i="4" s="1"/>
  <c r="J33" i="4" s="1"/>
  <c r="H29" i="4"/>
  <c r="I29" i="4" s="1"/>
  <c r="J29" i="4" s="1"/>
  <c r="B34" i="4"/>
  <c r="C34" i="4" s="1"/>
  <c r="D34" i="4" s="1"/>
  <c r="B28" i="4"/>
  <c r="C28" i="4" s="1"/>
  <c r="D28" i="4" s="1"/>
  <c r="B22" i="4"/>
  <c r="C22" i="4" s="1"/>
  <c r="D22" i="4" s="1"/>
  <c r="B16" i="4"/>
  <c r="C16" i="4" s="1"/>
  <c r="D16" i="4" s="1"/>
  <c r="B10" i="4"/>
  <c r="C10" i="4" s="1"/>
  <c r="D10" i="4" s="1"/>
  <c r="B4" i="4"/>
  <c r="C4" i="4" s="1"/>
  <c r="D4" i="4" s="1"/>
  <c r="E33" i="4"/>
  <c r="F33" i="4" s="1"/>
  <c r="G33" i="4" s="1"/>
  <c r="E28" i="4"/>
  <c r="F28" i="4" s="1"/>
  <c r="G28" i="4" s="1"/>
  <c r="E24" i="4"/>
  <c r="F24" i="4" s="1"/>
  <c r="G24" i="4" s="1"/>
  <c r="E19" i="4"/>
  <c r="F19" i="4" s="1"/>
  <c r="G19" i="4" s="1"/>
  <c r="E15" i="4"/>
  <c r="F15" i="4" s="1"/>
  <c r="G15" i="4" s="1"/>
  <c r="E10" i="4"/>
  <c r="F10" i="4" s="1"/>
  <c r="G10" i="4" s="1"/>
  <c r="E6" i="4"/>
  <c r="F6" i="4" s="1"/>
  <c r="G6" i="4" s="1"/>
  <c r="H36" i="4"/>
  <c r="I36" i="4" s="1"/>
  <c r="J36" i="4" s="1"/>
  <c r="H32" i="4"/>
  <c r="I32" i="4" s="1"/>
  <c r="J32" i="4" s="1"/>
  <c r="H27" i="4"/>
  <c r="I27" i="4" s="1"/>
  <c r="J27" i="4" s="1"/>
  <c r="H23" i="4"/>
  <c r="I23" i="4" s="1"/>
  <c r="J23" i="4" s="1"/>
  <c r="H18" i="4"/>
  <c r="I18" i="4" s="1"/>
  <c r="J18" i="4" s="1"/>
  <c r="H14" i="4"/>
  <c r="I14" i="4" s="1"/>
  <c r="J14" i="4" s="1"/>
  <c r="H9" i="4"/>
  <c r="I9" i="4" s="1"/>
  <c r="J9" i="4" s="1"/>
  <c r="H5" i="4"/>
  <c r="I5" i="4" s="1"/>
  <c r="J5" i="4" s="1"/>
  <c r="B25" i="4"/>
  <c r="C25" i="4" s="1"/>
  <c r="D25" i="4" s="1"/>
  <c r="B24" i="4"/>
  <c r="C24" i="4" s="1"/>
  <c r="D24" i="4" s="1"/>
  <c r="B12" i="4"/>
  <c r="C12" i="4" s="1"/>
  <c r="D12" i="4" s="1"/>
  <c r="E34" i="4"/>
  <c r="F34" i="4" s="1"/>
  <c r="G34" i="4" s="1"/>
  <c r="H3" i="4"/>
  <c r="B33" i="4"/>
  <c r="C33" i="4" s="1"/>
  <c r="D33" i="4" s="1"/>
  <c r="B27" i="4"/>
  <c r="C27" i="4" s="1"/>
  <c r="D27" i="4" s="1"/>
  <c r="B21" i="4"/>
  <c r="C21" i="4" s="1"/>
  <c r="D21" i="4" s="1"/>
  <c r="B15" i="4"/>
  <c r="C15" i="4" s="1"/>
  <c r="D15" i="4" s="1"/>
  <c r="E32" i="4"/>
  <c r="F32" i="4" s="1"/>
  <c r="G32" i="4" s="1"/>
  <c r="E23" i="4"/>
  <c r="F23" i="4" s="1"/>
  <c r="G23" i="4" s="1"/>
  <c r="H31" i="4"/>
  <c r="I31" i="4" s="1"/>
  <c r="J31" i="4" s="1"/>
  <c r="H22" i="4"/>
  <c r="I22" i="4" s="1"/>
  <c r="J22" i="4" s="1"/>
  <c r="H13" i="4"/>
  <c r="I13" i="4" s="1"/>
  <c r="J13" i="4" s="1"/>
  <c r="D37" i="2"/>
  <c r="E37" i="2"/>
  <c r="F37" i="2"/>
  <c r="G37" i="2"/>
  <c r="H37" i="2"/>
  <c r="I37" i="2"/>
  <c r="J37" i="2"/>
  <c r="K37" i="2"/>
  <c r="L37" i="2"/>
  <c r="C37" i="2"/>
  <c r="N30" i="2"/>
  <c r="M31" i="2"/>
  <c r="M32" i="2"/>
  <c r="M33" i="2"/>
  <c r="M34" i="2"/>
  <c r="M35" i="2"/>
  <c r="M36" i="2"/>
  <c r="M30" i="2"/>
  <c r="C31" i="2"/>
  <c r="D31" i="2"/>
  <c r="E31" i="2"/>
  <c r="F31" i="2"/>
  <c r="G31" i="2"/>
  <c r="H31" i="2"/>
  <c r="I31" i="2"/>
  <c r="J31" i="2"/>
  <c r="K31" i="2"/>
  <c r="L31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F36" i="2"/>
  <c r="G36" i="2"/>
  <c r="H36" i="2"/>
  <c r="I36" i="2"/>
  <c r="J36" i="2"/>
  <c r="K36" i="2"/>
  <c r="L36" i="2"/>
  <c r="D30" i="2"/>
  <c r="E30" i="2"/>
  <c r="F30" i="2"/>
  <c r="G30" i="2"/>
  <c r="H30" i="2"/>
  <c r="I30" i="2"/>
  <c r="J30" i="2"/>
  <c r="K30" i="2"/>
  <c r="L30" i="2"/>
  <c r="C30" i="2"/>
  <c r="N18" i="2"/>
  <c r="M19" i="2"/>
  <c r="M20" i="2"/>
  <c r="M21" i="2"/>
  <c r="M22" i="2"/>
  <c r="M23" i="2"/>
  <c r="M24" i="2"/>
  <c r="M25" i="2"/>
  <c r="M26" i="2"/>
  <c r="M18" i="2"/>
  <c r="M5" i="2"/>
  <c r="M6" i="2"/>
  <c r="M7" i="2"/>
  <c r="M8" i="2"/>
  <c r="M9" i="2"/>
  <c r="M10" i="2"/>
  <c r="M11" i="2"/>
  <c r="M12" i="2"/>
  <c r="M13" i="2"/>
  <c r="M14" i="2"/>
  <c r="M4" i="2"/>
  <c r="D27" i="2"/>
  <c r="E27" i="2"/>
  <c r="F27" i="2"/>
  <c r="G27" i="2"/>
  <c r="H27" i="2"/>
  <c r="I27" i="2"/>
  <c r="J27" i="2"/>
  <c r="K27" i="2"/>
  <c r="L27" i="2"/>
  <c r="C27" i="2"/>
  <c r="C19" i="2"/>
  <c r="D19" i="2"/>
  <c r="E19" i="2"/>
  <c r="F19" i="2"/>
  <c r="G19" i="2"/>
  <c r="H19" i="2"/>
  <c r="I19" i="2"/>
  <c r="J19" i="2"/>
  <c r="K19" i="2"/>
  <c r="L19" i="2"/>
  <c r="F20" i="2"/>
  <c r="C21" i="2"/>
  <c r="D21" i="2"/>
  <c r="E21" i="2"/>
  <c r="F21" i="2"/>
  <c r="G21" i="2"/>
  <c r="H21" i="2"/>
  <c r="I21" i="2"/>
  <c r="J21" i="2"/>
  <c r="K21" i="2"/>
  <c r="L21" i="2"/>
  <c r="C22" i="2"/>
  <c r="D22" i="2"/>
  <c r="E22" i="2"/>
  <c r="F22" i="2"/>
  <c r="G22" i="2"/>
  <c r="H22" i="2"/>
  <c r="I22" i="2"/>
  <c r="J22" i="2"/>
  <c r="K22" i="2"/>
  <c r="L22" i="2"/>
  <c r="C23" i="2"/>
  <c r="D23" i="2"/>
  <c r="E23" i="2"/>
  <c r="F23" i="2"/>
  <c r="G23" i="2"/>
  <c r="H23" i="2"/>
  <c r="I23" i="2"/>
  <c r="J23" i="2"/>
  <c r="K23" i="2"/>
  <c r="L23" i="2"/>
  <c r="C24" i="2"/>
  <c r="D24" i="2"/>
  <c r="E24" i="2"/>
  <c r="F24" i="2"/>
  <c r="G24" i="2"/>
  <c r="H24" i="2"/>
  <c r="I24" i="2"/>
  <c r="J24" i="2"/>
  <c r="K24" i="2"/>
  <c r="L24" i="2"/>
  <c r="C25" i="2"/>
  <c r="D25" i="2"/>
  <c r="E25" i="2"/>
  <c r="F25" i="2"/>
  <c r="G25" i="2"/>
  <c r="H25" i="2"/>
  <c r="I25" i="2"/>
  <c r="J25" i="2"/>
  <c r="K25" i="2"/>
  <c r="L25" i="2"/>
  <c r="C26" i="2"/>
  <c r="D26" i="2"/>
  <c r="E26" i="2"/>
  <c r="F26" i="2"/>
  <c r="G26" i="2"/>
  <c r="H26" i="2"/>
  <c r="I26" i="2"/>
  <c r="J26" i="2"/>
  <c r="K26" i="2"/>
  <c r="L26" i="2"/>
  <c r="D18" i="2"/>
  <c r="E18" i="2"/>
  <c r="F18" i="2"/>
  <c r="G18" i="2"/>
  <c r="H18" i="2"/>
  <c r="I18" i="2"/>
  <c r="J18" i="2"/>
  <c r="K18" i="2"/>
  <c r="L18" i="2"/>
  <c r="C18" i="2"/>
  <c r="N4" i="2"/>
  <c r="D15" i="2"/>
  <c r="E15" i="2"/>
  <c r="F15" i="2"/>
  <c r="G15" i="2"/>
  <c r="H15" i="2"/>
  <c r="I15" i="2"/>
  <c r="J15" i="2"/>
  <c r="K15" i="2"/>
  <c r="L15" i="2"/>
  <c r="C15" i="2"/>
  <c r="C5" i="2"/>
  <c r="D5" i="2"/>
  <c r="E5" i="2"/>
  <c r="F5" i="2"/>
  <c r="G5" i="2"/>
  <c r="H5" i="2"/>
  <c r="I5" i="2"/>
  <c r="J5" i="2"/>
  <c r="K5" i="2"/>
  <c r="L5" i="2"/>
  <c r="C6" i="2"/>
  <c r="D6" i="2"/>
  <c r="E6" i="2"/>
  <c r="F6" i="2"/>
  <c r="G6" i="2"/>
  <c r="H6" i="2"/>
  <c r="I6" i="2"/>
  <c r="J6" i="2"/>
  <c r="K6" i="2"/>
  <c r="L6" i="2"/>
  <c r="C7" i="2"/>
  <c r="D7" i="2"/>
  <c r="E7" i="2"/>
  <c r="F7" i="2"/>
  <c r="G7" i="2"/>
  <c r="H7" i="2"/>
  <c r="I7" i="2"/>
  <c r="J7" i="2"/>
  <c r="K7" i="2"/>
  <c r="L7" i="2"/>
  <c r="C8" i="2"/>
  <c r="D8" i="2"/>
  <c r="E8" i="2"/>
  <c r="F8" i="2"/>
  <c r="G8" i="2"/>
  <c r="H8" i="2"/>
  <c r="I8" i="2"/>
  <c r="J8" i="2"/>
  <c r="K8" i="2"/>
  <c r="L8" i="2"/>
  <c r="C9" i="2"/>
  <c r="D9" i="2"/>
  <c r="E9" i="2"/>
  <c r="F9" i="2"/>
  <c r="G9" i="2"/>
  <c r="H9" i="2"/>
  <c r="I9" i="2"/>
  <c r="J9" i="2"/>
  <c r="K9" i="2"/>
  <c r="L9" i="2"/>
  <c r="C10" i="2"/>
  <c r="D10" i="2"/>
  <c r="E10" i="2"/>
  <c r="F10" i="2"/>
  <c r="G10" i="2"/>
  <c r="H10" i="2"/>
  <c r="I10" i="2"/>
  <c r="J10" i="2"/>
  <c r="K10" i="2"/>
  <c r="L10" i="2"/>
  <c r="C11" i="2"/>
  <c r="D11" i="2"/>
  <c r="E11" i="2"/>
  <c r="F11" i="2"/>
  <c r="G11" i="2"/>
  <c r="H11" i="2"/>
  <c r="I11" i="2"/>
  <c r="J11" i="2"/>
  <c r="K11" i="2"/>
  <c r="L11" i="2"/>
  <c r="C12" i="2"/>
  <c r="D12" i="2"/>
  <c r="E12" i="2"/>
  <c r="F12" i="2"/>
  <c r="G12" i="2"/>
  <c r="H12" i="2"/>
  <c r="I12" i="2"/>
  <c r="J12" i="2"/>
  <c r="K12" i="2"/>
  <c r="L12" i="2"/>
  <c r="C13" i="2"/>
  <c r="D13" i="2"/>
  <c r="E13" i="2"/>
  <c r="F13" i="2"/>
  <c r="G13" i="2"/>
  <c r="H13" i="2"/>
  <c r="I13" i="2"/>
  <c r="J13" i="2"/>
  <c r="K13" i="2"/>
  <c r="L13" i="2"/>
  <c r="C14" i="2"/>
  <c r="D14" i="2"/>
  <c r="E14" i="2"/>
  <c r="F14" i="2"/>
  <c r="G14" i="2"/>
  <c r="H14" i="2"/>
  <c r="I14" i="2"/>
  <c r="J14" i="2"/>
  <c r="K14" i="2"/>
  <c r="L14" i="2"/>
  <c r="D4" i="2"/>
  <c r="E4" i="2"/>
  <c r="F4" i="2"/>
  <c r="G4" i="2"/>
  <c r="H4" i="2"/>
  <c r="I4" i="2"/>
  <c r="J4" i="2"/>
  <c r="K4" i="2"/>
  <c r="L4" i="2"/>
  <c r="C4" i="2"/>
  <c r="I3" i="4" l="1"/>
  <c r="H37" i="4"/>
  <c r="F3" i="4"/>
  <c r="E37" i="4"/>
  <c r="C3" i="4"/>
  <c r="B37" i="4"/>
  <c r="C37" i="4" l="1"/>
  <c r="D37" i="4" s="1"/>
  <c r="D3" i="4"/>
  <c r="F37" i="4"/>
  <c r="G37" i="4" s="1"/>
  <c r="G3" i="4"/>
  <c r="I37" i="4"/>
  <c r="J37" i="4" s="1"/>
  <c r="J3" i="4"/>
</calcChain>
</file>

<file path=xl/sharedStrings.xml><?xml version="1.0" encoding="utf-8"?>
<sst xmlns="http://schemas.openxmlformats.org/spreadsheetml/2006/main" count="6023" uniqueCount="62">
  <si>
    <t>QXH-5198</t>
  </si>
  <si>
    <t>RFA-5H23</t>
  </si>
  <si>
    <t>IZV-6C04</t>
  </si>
  <si>
    <t>IYB-0025</t>
  </si>
  <si>
    <t>CEU-8E93</t>
  </si>
  <si>
    <t>ASE-4733</t>
  </si>
  <si>
    <t>PYU-7216</t>
  </si>
  <si>
    <t>RHG-3B23</t>
  </si>
  <si>
    <t>FWP-6G22</t>
  </si>
  <si>
    <t>SDS-3G27</t>
  </si>
  <si>
    <t>AC</t>
  </si>
  <si>
    <t>AM</t>
  </si>
  <si>
    <t>AP</t>
  </si>
  <si>
    <t>DF</t>
  </si>
  <si>
    <t>GO</t>
  </si>
  <si>
    <t>MS</t>
  </si>
  <si>
    <t>MT</t>
  </si>
  <si>
    <t>PA</t>
  </si>
  <si>
    <t>RO</t>
  </si>
  <si>
    <t>RR</t>
  </si>
  <si>
    <t>TO</t>
  </si>
  <si>
    <t>UF</t>
  </si>
  <si>
    <t>AL</t>
  </si>
  <si>
    <t>BA</t>
  </si>
  <si>
    <t>CE</t>
  </si>
  <si>
    <t>MA</t>
  </si>
  <si>
    <t>PB</t>
  </si>
  <si>
    <t>PE</t>
  </si>
  <si>
    <t>PI</t>
  </si>
  <si>
    <t>RN</t>
  </si>
  <si>
    <t>SE</t>
  </si>
  <si>
    <t>Média do Lote</t>
  </si>
  <si>
    <t>ES</t>
  </si>
  <si>
    <t>MG</t>
  </si>
  <si>
    <t>PR</t>
  </si>
  <si>
    <t>RJ</t>
  </si>
  <si>
    <t>RS</t>
  </si>
  <si>
    <t>SC</t>
  </si>
  <si>
    <t>SP</t>
  </si>
  <si>
    <t>Média da UF</t>
  </si>
  <si>
    <t>Média de cada UF</t>
  </si>
  <si>
    <t>-</t>
  </si>
  <si>
    <t>Lote</t>
  </si>
  <si>
    <t>ciclo</t>
  </si>
  <si>
    <t>lote</t>
  </si>
  <si>
    <t>uf</t>
  </si>
  <si>
    <t>veiculo</t>
  </si>
  <si>
    <t>data</t>
  </si>
  <si>
    <t>distancia_percorrida</t>
  </si>
  <si>
    <t>ciclo 1</t>
  </si>
  <si>
    <t>ciclo 2</t>
  </si>
  <si>
    <t>ciclo 3</t>
  </si>
  <si>
    <t>ciclo 4</t>
  </si>
  <si>
    <t>Produção dos Veículos do VDR em km/dia</t>
  </si>
  <si>
    <t>Média do Veículo</t>
  </si>
  <si>
    <t>Notas:</t>
  </si>
  <si>
    <t>1. Os valores calculados referem-se aos 4 (quatro) ciclos;</t>
  </si>
  <si>
    <t>2. Por se tratarem de valores médios, cuidado para que não seja</t>
  </si>
  <si>
    <t xml:space="preserve"> calculada a média das médias.</t>
  </si>
  <si>
    <t>produtivos</t>
  </si>
  <si>
    <t>improdutivos</t>
  </si>
  <si>
    <t>%improdutivo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</si>
</sst>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7" formatCode="mmm/yyyy"/>
    <numFmt numFmtId="168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8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2" fontId="1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4" borderId="0" xfId="0" applyFill="1"/>
    <xf numFmtId="0" fontId="1" fillId="4" borderId="0" xfId="0" applyFont="1" applyFill="1"/>
    <xf numFmtId="164" fontId="0" fillId="0" borderId="0" xfId="0" applyNumberFormat="1"/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8" fontId="0" fillId="0" borderId="0" xfId="1" applyNumberFormat="1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D879E8-DF07-409D-8C2E-52018D58B038}" name="Tabela2" displayName="Tabela2" ref="A1:F1976" totalsRowShown="0">
  <autoFilter ref="A1:F1976" xr:uid="{A8D879E8-DF07-409D-8C2E-52018D58B038}"/>
  <tableColumns count="6">
    <tableColumn id="1" xr3:uid="{FE695416-DD0E-4AD0-A1D5-A7711DBCE726}" name="ciclo"/>
    <tableColumn id="2" xr3:uid="{5F402059-9A2C-4C4B-8171-4A930E5AC0A5}" name="lote"/>
    <tableColumn id="3" xr3:uid="{4B3AF4E1-A7E7-4EF3-9160-FAD4E8B63D3B}" name="uf"/>
    <tableColumn id="4" xr3:uid="{29B5DF57-F82B-400A-B481-E0F4736AA1A1}" name="veiculo"/>
    <tableColumn id="5" xr3:uid="{BD7B2A46-E689-4A3E-87B5-B64F96E72B8E}" name="data" dataDxfId="0"/>
    <tableColumn id="6" xr3:uid="{A98FE50B-EC1F-4AB1-8A09-3A8F2C62C702}" name="distancia_percorri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4DDC9-DE75-4701-BE3E-940474309D25}">
  <dimension ref="A1:F1976"/>
  <sheetViews>
    <sheetView showGridLines="0" workbookViewId="0">
      <selection activeCell="E10" sqref="E10"/>
    </sheetView>
  </sheetViews>
  <sheetFormatPr defaultRowHeight="15" x14ac:dyDescent="0.25"/>
  <cols>
    <col min="1" max="1" width="7.5703125" bestFit="1" customWidth="1"/>
    <col min="2" max="2" width="6.85546875" bestFit="1" customWidth="1"/>
    <col min="3" max="3" width="5.140625" bestFit="1" customWidth="1"/>
    <col min="4" max="4" width="9.85546875" bestFit="1" customWidth="1"/>
    <col min="5" max="5" width="10.42578125" bestFit="1" customWidth="1"/>
    <col min="6" max="6" width="21.85546875" bestFit="1" customWidth="1"/>
  </cols>
  <sheetData>
    <row r="1" spans="1:6" x14ac:dyDescent="0.25">
      <c r="A1" t="s">
        <v>43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</row>
    <row r="2" spans="1:6" x14ac:dyDescent="0.25">
      <c r="A2" t="s">
        <v>49</v>
      </c>
      <c r="B2">
        <v>1</v>
      </c>
      <c r="C2" t="s">
        <v>10</v>
      </c>
      <c r="D2" t="s">
        <v>0</v>
      </c>
      <c r="E2" s="8">
        <v>44092</v>
      </c>
      <c r="F2">
        <v>39</v>
      </c>
    </row>
    <row r="3" spans="1:6" x14ac:dyDescent="0.25">
      <c r="A3" t="s">
        <v>49</v>
      </c>
      <c r="B3">
        <v>1</v>
      </c>
      <c r="C3" t="s">
        <v>10</v>
      </c>
      <c r="D3" t="s">
        <v>0</v>
      </c>
      <c r="E3" s="8">
        <v>44093</v>
      </c>
      <c r="F3">
        <v>257</v>
      </c>
    </row>
    <row r="4" spans="1:6" x14ac:dyDescent="0.25">
      <c r="A4" t="s">
        <v>49</v>
      </c>
      <c r="B4">
        <v>1</v>
      </c>
      <c r="C4" t="s">
        <v>10</v>
      </c>
      <c r="D4" t="s">
        <v>0</v>
      </c>
      <c r="E4" s="8">
        <v>44094</v>
      </c>
      <c r="F4">
        <v>114</v>
      </c>
    </row>
    <row r="5" spans="1:6" x14ac:dyDescent="0.25">
      <c r="A5" t="s">
        <v>49</v>
      </c>
      <c r="B5">
        <v>1</v>
      </c>
      <c r="C5" t="s">
        <v>10</v>
      </c>
      <c r="D5" t="s">
        <v>0</v>
      </c>
      <c r="E5" s="8">
        <v>44095</v>
      </c>
      <c r="F5">
        <v>33</v>
      </c>
    </row>
    <row r="6" spans="1:6" x14ac:dyDescent="0.25">
      <c r="A6" t="s">
        <v>49</v>
      </c>
      <c r="B6">
        <v>1</v>
      </c>
      <c r="C6" t="s">
        <v>10</v>
      </c>
      <c r="D6" t="s">
        <v>0</v>
      </c>
      <c r="E6" s="8">
        <v>44096</v>
      </c>
      <c r="F6">
        <v>234</v>
      </c>
    </row>
    <row r="7" spans="1:6" x14ac:dyDescent="0.25">
      <c r="A7" t="s">
        <v>49</v>
      </c>
      <c r="B7">
        <v>1</v>
      </c>
      <c r="C7" t="s">
        <v>10</v>
      </c>
      <c r="D7" t="s">
        <v>0</v>
      </c>
      <c r="E7" s="8">
        <v>44097</v>
      </c>
      <c r="F7">
        <v>220</v>
      </c>
    </row>
    <row r="8" spans="1:6" x14ac:dyDescent="0.25">
      <c r="A8" t="s">
        <v>49</v>
      </c>
      <c r="B8">
        <v>1</v>
      </c>
      <c r="C8" t="s">
        <v>10</v>
      </c>
      <c r="D8" t="s">
        <v>0</v>
      </c>
      <c r="E8" s="8">
        <v>44098</v>
      </c>
      <c r="F8">
        <v>182</v>
      </c>
    </row>
    <row r="9" spans="1:6" x14ac:dyDescent="0.25">
      <c r="A9" t="s">
        <v>49</v>
      </c>
      <c r="B9">
        <v>1</v>
      </c>
      <c r="C9" t="s">
        <v>10</v>
      </c>
      <c r="D9" t="s">
        <v>0</v>
      </c>
      <c r="E9" s="8">
        <v>44099</v>
      </c>
      <c r="F9">
        <v>113</v>
      </c>
    </row>
    <row r="10" spans="1:6" x14ac:dyDescent="0.25">
      <c r="A10" t="s">
        <v>49</v>
      </c>
      <c r="B10">
        <v>1</v>
      </c>
      <c r="C10" t="s">
        <v>11</v>
      </c>
      <c r="D10" t="s">
        <v>0</v>
      </c>
      <c r="E10" s="8">
        <v>44076</v>
      </c>
      <c r="F10">
        <v>93</v>
      </c>
    </row>
    <row r="11" spans="1:6" x14ac:dyDescent="0.25">
      <c r="A11" t="s">
        <v>49</v>
      </c>
      <c r="B11">
        <v>1</v>
      </c>
      <c r="C11" t="s">
        <v>11</v>
      </c>
      <c r="D11" t="s">
        <v>0</v>
      </c>
      <c r="E11" s="8">
        <v>44077</v>
      </c>
      <c r="F11">
        <v>90</v>
      </c>
    </row>
    <row r="12" spans="1:6" x14ac:dyDescent="0.25">
      <c r="A12" t="s">
        <v>49</v>
      </c>
      <c r="B12">
        <v>1</v>
      </c>
      <c r="C12" t="s">
        <v>11</v>
      </c>
      <c r="D12" t="s">
        <v>0</v>
      </c>
      <c r="E12" s="8">
        <v>44078</v>
      </c>
      <c r="F12">
        <v>123</v>
      </c>
    </row>
    <row r="13" spans="1:6" x14ac:dyDescent="0.25">
      <c r="A13" t="s">
        <v>49</v>
      </c>
      <c r="B13">
        <v>1</v>
      </c>
      <c r="C13" t="s">
        <v>11</v>
      </c>
      <c r="D13" t="s">
        <v>0</v>
      </c>
      <c r="E13" s="8">
        <v>44079</v>
      </c>
      <c r="F13">
        <v>130</v>
      </c>
    </row>
    <row r="14" spans="1:6" x14ac:dyDescent="0.25">
      <c r="A14" t="s">
        <v>49</v>
      </c>
      <c r="B14">
        <v>1</v>
      </c>
      <c r="C14" t="s">
        <v>11</v>
      </c>
      <c r="D14" t="s">
        <v>0</v>
      </c>
      <c r="E14" s="8">
        <v>44090</v>
      </c>
      <c r="F14">
        <v>169</v>
      </c>
    </row>
    <row r="15" spans="1:6" x14ac:dyDescent="0.25">
      <c r="A15" t="s">
        <v>49</v>
      </c>
      <c r="B15">
        <v>1</v>
      </c>
      <c r="C15" t="s">
        <v>11</v>
      </c>
      <c r="D15" t="s">
        <v>0</v>
      </c>
      <c r="E15" s="8">
        <v>44092</v>
      </c>
      <c r="F15">
        <v>65</v>
      </c>
    </row>
    <row r="16" spans="1:6" x14ac:dyDescent="0.25">
      <c r="A16" t="s">
        <v>49</v>
      </c>
      <c r="B16">
        <v>1</v>
      </c>
      <c r="C16" t="s">
        <v>12</v>
      </c>
      <c r="D16" t="s">
        <v>0</v>
      </c>
      <c r="E16" s="8">
        <v>44059</v>
      </c>
      <c r="F16">
        <v>113</v>
      </c>
    </row>
    <row r="17" spans="1:6" x14ac:dyDescent="0.25">
      <c r="A17" t="s">
        <v>49</v>
      </c>
      <c r="B17">
        <v>1</v>
      </c>
      <c r="C17" t="s">
        <v>12</v>
      </c>
      <c r="D17" t="s">
        <v>0</v>
      </c>
      <c r="E17" s="8">
        <v>44060</v>
      </c>
      <c r="F17">
        <v>308</v>
      </c>
    </row>
    <row r="18" spans="1:6" x14ac:dyDescent="0.25">
      <c r="A18" t="s">
        <v>49</v>
      </c>
      <c r="B18">
        <v>1</v>
      </c>
      <c r="C18" t="s">
        <v>12</v>
      </c>
      <c r="D18" t="s">
        <v>0</v>
      </c>
      <c r="E18" s="8">
        <v>44061</v>
      </c>
      <c r="F18">
        <v>52</v>
      </c>
    </row>
    <row r="19" spans="1:6" x14ac:dyDescent="0.25">
      <c r="A19" t="s">
        <v>49</v>
      </c>
      <c r="B19">
        <v>1</v>
      </c>
      <c r="C19" t="s">
        <v>13</v>
      </c>
      <c r="D19" t="s">
        <v>0</v>
      </c>
      <c r="E19" s="8">
        <v>44028</v>
      </c>
      <c r="F19">
        <v>47</v>
      </c>
    </row>
    <row r="20" spans="1:6" x14ac:dyDescent="0.25">
      <c r="A20" t="s">
        <v>49</v>
      </c>
      <c r="B20">
        <v>1</v>
      </c>
      <c r="C20" t="s">
        <v>13</v>
      </c>
      <c r="D20" t="s">
        <v>1</v>
      </c>
      <c r="E20" s="8">
        <v>44029</v>
      </c>
      <c r="F20">
        <v>33</v>
      </c>
    </row>
    <row r="21" spans="1:6" x14ac:dyDescent="0.25">
      <c r="A21" t="s">
        <v>49</v>
      </c>
      <c r="B21">
        <v>1</v>
      </c>
      <c r="C21" t="s">
        <v>13</v>
      </c>
      <c r="D21" t="s">
        <v>1</v>
      </c>
      <c r="E21" s="8">
        <v>44030</v>
      </c>
      <c r="F21">
        <v>34</v>
      </c>
    </row>
    <row r="22" spans="1:6" x14ac:dyDescent="0.25">
      <c r="A22" t="s">
        <v>49</v>
      </c>
      <c r="B22">
        <v>1</v>
      </c>
      <c r="C22" t="s">
        <v>13</v>
      </c>
      <c r="D22" t="s">
        <v>1</v>
      </c>
      <c r="E22" s="8">
        <v>44032</v>
      </c>
      <c r="F22">
        <v>28</v>
      </c>
    </row>
    <row r="23" spans="1:6" x14ac:dyDescent="0.25">
      <c r="A23" t="s">
        <v>49</v>
      </c>
      <c r="B23">
        <v>1</v>
      </c>
      <c r="C23" t="s">
        <v>13</v>
      </c>
      <c r="D23" t="s">
        <v>1</v>
      </c>
      <c r="E23" s="8">
        <v>44033</v>
      </c>
      <c r="F23">
        <v>37</v>
      </c>
    </row>
    <row r="24" spans="1:6" x14ac:dyDescent="0.25">
      <c r="A24" t="s">
        <v>49</v>
      </c>
      <c r="B24">
        <v>1</v>
      </c>
      <c r="C24" t="s">
        <v>13</v>
      </c>
      <c r="D24" t="s">
        <v>1</v>
      </c>
      <c r="E24" s="8">
        <v>44036</v>
      </c>
      <c r="F24">
        <v>3</v>
      </c>
    </row>
    <row r="25" spans="1:6" x14ac:dyDescent="0.25">
      <c r="A25" t="s">
        <v>49</v>
      </c>
      <c r="B25">
        <v>1</v>
      </c>
      <c r="C25" t="s">
        <v>14</v>
      </c>
      <c r="D25" t="s">
        <v>0</v>
      </c>
      <c r="E25" s="8">
        <v>44029</v>
      </c>
      <c r="F25">
        <v>98</v>
      </c>
    </row>
    <row r="26" spans="1:6" x14ac:dyDescent="0.25">
      <c r="A26" t="s">
        <v>49</v>
      </c>
      <c r="B26">
        <v>1</v>
      </c>
      <c r="C26" t="s">
        <v>14</v>
      </c>
      <c r="D26" t="s">
        <v>0</v>
      </c>
      <c r="E26" s="8">
        <v>44030</v>
      </c>
      <c r="F26">
        <v>44</v>
      </c>
    </row>
    <row r="27" spans="1:6" x14ac:dyDescent="0.25">
      <c r="A27" t="s">
        <v>49</v>
      </c>
      <c r="B27">
        <v>1</v>
      </c>
      <c r="C27" t="s">
        <v>14</v>
      </c>
      <c r="D27" t="s">
        <v>1</v>
      </c>
      <c r="E27" s="8">
        <v>44029</v>
      </c>
      <c r="F27">
        <v>90</v>
      </c>
    </row>
    <row r="28" spans="1:6" x14ac:dyDescent="0.25">
      <c r="A28" t="s">
        <v>49</v>
      </c>
      <c r="B28">
        <v>1</v>
      </c>
      <c r="C28" t="s">
        <v>14</v>
      </c>
      <c r="D28" t="s">
        <v>1</v>
      </c>
      <c r="E28" s="8">
        <v>44030</v>
      </c>
      <c r="F28">
        <v>110</v>
      </c>
    </row>
    <row r="29" spans="1:6" x14ac:dyDescent="0.25">
      <c r="A29" t="s">
        <v>49</v>
      </c>
      <c r="B29">
        <v>1</v>
      </c>
      <c r="C29" t="s">
        <v>14</v>
      </c>
      <c r="D29" t="s">
        <v>1</v>
      </c>
      <c r="E29" s="8">
        <v>44031</v>
      </c>
      <c r="F29">
        <v>245</v>
      </c>
    </row>
    <row r="30" spans="1:6" x14ac:dyDescent="0.25">
      <c r="A30" t="s">
        <v>49</v>
      </c>
      <c r="B30">
        <v>1</v>
      </c>
      <c r="C30" t="s">
        <v>14</v>
      </c>
      <c r="D30" t="s">
        <v>1</v>
      </c>
      <c r="E30" s="8">
        <v>44033</v>
      </c>
      <c r="F30">
        <v>41</v>
      </c>
    </row>
    <row r="31" spans="1:6" x14ac:dyDescent="0.25">
      <c r="A31" t="s">
        <v>49</v>
      </c>
      <c r="B31">
        <v>1</v>
      </c>
      <c r="C31" t="s">
        <v>14</v>
      </c>
      <c r="D31" t="s">
        <v>1</v>
      </c>
      <c r="E31" s="8">
        <v>44036</v>
      </c>
      <c r="F31">
        <v>147</v>
      </c>
    </row>
    <row r="32" spans="1:6" x14ac:dyDescent="0.25">
      <c r="A32" t="s">
        <v>49</v>
      </c>
      <c r="B32">
        <v>1</v>
      </c>
      <c r="C32" t="s">
        <v>14</v>
      </c>
      <c r="D32" t="s">
        <v>1</v>
      </c>
      <c r="E32" s="8">
        <v>44037</v>
      </c>
      <c r="F32">
        <v>103</v>
      </c>
    </row>
    <row r="33" spans="1:6" x14ac:dyDescent="0.25">
      <c r="A33" t="s">
        <v>49</v>
      </c>
      <c r="B33">
        <v>1</v>
      </c>
      <c r="C33" t="s">
        <v>14</v>
      </c>
      <c r="D33" t="s">
        <v>1</v>
      </c>
      <c r="E33" s="8">
        <v>44038</v>
      </c>
      <c r="F33">
        <v>137</v>
      </c>
    </row>
    <row r="34" spans="1:6" x14ac:dyDescent="0.25">
      <c r="A34" t="s">
        <v>49</v>
      </c>
      <c r="B34">
        <v>1</v>
      </c>
      <c r="C34" t="s">
        <v>14</v>
      </c>
      <c r="D34" t="s">
        <v>1</v>
      </c>
      <c r="E34" s="8">
        <v>44039</v>
      </c>
      <c r="F34">
        <v>54</v>
      </c>
    </row>
    <row r="35" spans="1:6" x14ac:dyDescent="0.25">
      <c r="A35" t="s">
        <v>49</v>
      </c>
      <c r="B35">
        <v>1</v>
      </c>
      <c r="C35" t="s">
        <v>14</v>
      </c>
      <c r="D35" t="s">
        <v>1</v>
      </c>
      <c r="E35" s="8">
        <v>44040</v>
      </c>
      <c r="F35">
        <v>156</v>
      </c>
    </row>
    <row r="36" spans="1:6" x14ac:dyDescent="0.25">
      <c r="A36" t="s">
        <v>49</v>
      </c>
      <c r="B36">
        <v>1</v>
      </c>
      <c r="C36" t="s">
        <v>14</v>
      </c>
      <c r="D36" t="s">
        <v>1</v>
      </c>
      <c r="E36" s="8">
        <v>44046</v>
      </c>
      <c r="F36">
        <v>84</v>
      </c>
    </row>
    <row r="37" spans="1:6" x14ac:dyDescent="0.25">
      <c r="A37" t="s">
        <v>49</v>
      </c>
      <c r="B37">
        <v>1</v>
      </c>
      <c r="C37" t="s">
        <v>14</v>
      </c>
      <c r="D37" t="s">
        <v>1</v>
      </c>
      <c r="E37" s="8">
        <v>44048</v>
      </c>
      <c r="F37">
        <v>91</v>
      </c>
    </row>
    <row r="38" spans="1:6" x14ac:dyDescent="0.25">
      <c r="A38" t="s">
        <v>49</v>
      </c>
      <c r="B38">
        <v>1</v>
      </c>
      <c r="C38" t="s">
        <v>14</v>
      </c>
      <c r="D38" t="s">
        <v>1</v>
      </c>
      <c r="E38" s="8">
        <v>44049</v>
      </c>
      <c r="F38">
        <v>163</v>
      </c>
    </row>
    <row r="39" spans="1:6" x14ac:dyDescent="0.25">
      <c r="A39" t="s">
        <v>49</v>
      </c>
      <c r="B39">
        <v>1</v>
      </c>
      <c r="C39" t="s">
        <v>14</v>
      </c>
      <c r="D39" t="s">
        <v>1</v>
      </c>
      <c r="E39" s="8">
        <v>44050</v>
      </c>
      <c r="F39">
        <v>128</v>
      </c>
    </row>
    <row r="40" spans="1:6" x14ac:dyDescent="0.25">
      <c r="A40" t="s">
        <v>49</v>
      </c>
      <c r="B40">
        <v>1</v>
      </c>
      <c r="C40" t="s">
        <v>14</v>
      </c>
      <c r="D40" t="s">
        <v>1</v>
      </c>
      <c r="E40" s="8">
        <v>44051</v>
      </c>
      <c r="F40">
        <v>78</v>
      </c>
    </row>
    <row r="41" spans="1:6" x14ac:dyDescent="0.25">
      <c r="A41" t="s">
        <v>49</v>
      </c>
      <c r="B41">
        <v>1</v>
      </c>
      <c r="C41" t="s">
        <v>14</v>
      </c>
      <c r="D41" t="s">
        <v>1</v>
      </c>
      <c r="E41" s="8">
        <v>44052</v>
      </c>
      <c r="F41">
        <v>141</v>
      </c>
    </row>
    <row r="42" spans="1:6" x14ac:dyDescent="0.25">
      <c r="A42" t="s">
        <v>49</v>
      </c>
      <c r="B42">
        <v>1</v>
      </c>
      <c r="C42" t="s">
        <v>14</v>
      </c>
      <c r="D42" t="s">
        <v>1</v>
      </c>
      <c r="E42" s="8">
        <v>44053</v>
      </c>
      <c r="F42">
        <v>173</v>
      </c>
    </row>
    <row r="43" spans="1:6" x14ac:dyDescent="0.25">
      <c r="A43" t="s">
        <v>49</v>
      </c>
      <c r="B43">
        <v>1</v>
      </c>
      <c r="C43" t="s">
        <v>14</v>
      </c>
      <c r="D43" t="s">
        <v>1</v>
      </c>
      <c r="E43" s="8">
        <v>44054</v>
      </c>
      <c r="F43">
        <v>98</v>
      </c>
    </row>
    <row r="44" spans="1:6" x14ac:dyDescent="0.25">
      <c r="A44" t="s">
        <v>49</v>
      </c>
      <c r="B44">
        <v>1</v>
      </c>
      <c r="C44" t="s">
        <v>14</v>
      </c>
      <c r="D44" t="s">
        <v>1</v>
      </c>
      <c r="E44" s="8">
        <v>44055</v>
      </c>
      <c r="F44">
        <v>79</v>
      </c>
    </row>
    <row r="45" spans="1:6" x14ac:dyDescent="0.25">
      <c r="A45" t="s">
        <v>49</v>
      </c>
      <c r="B45">
        <v>1</v>
      </c>
      <c r="C45" t="s">
        <v>14</v>
      </c>
      <c r="D45" t="s">
        <v>1</v>
      </c>
      <c r="E45" s="8">
        <v>44101</v>
      </c>
      <c r="F45">
        <v>45</v>
      </c>
    </row>
    <row r="46" spans="1:6" x14ac:dyDescent="0.25">
      <c r="A46" t="s">
        <v>49</v>
      </c>
      <c r="B46">
        <v>1</v>
      </c>
      <c r="C46" t="s">
        <v>14</v>
      </c>
      <c r="D46" t="s">
        <v>1</v>
      </c>
      <c r="E46" s="8">
        <v>44102</v>
      </c>
      <c r="F46">
        <v>113</v>
      </c>
    </row>
    <row r="47" spans="1:6" x14ac:dyDescent="0.25">
      <c r="A47" t="s">
        <v>49</v>
      </c>
      <c r="B47">
        <v>1</v>
      </c>
      <c r="C47" t="s">
        <v>14</v>
      </c>
      <c r="D47" t="s">
        <v>1</v>
      </c>
      <c r="E47" s="8">
        <v>44103</v>
      </c>
      <c r="F47">
        <v>103</v>
      </c>
    </row>
    <row r="48" spans="1:6" x14ac:dyDescent="0.25">
      <c r="A48" t="s">
        <v>49</v>
      </c>
      <c r="B48">
        <v>1</v>
      </c>
      <c r="C48" t="s">
        <v>15</v>
      </c>
      <c r="D48" t="s">
        <v>1</v>
      </c>
      <c r="E48" s="8">
        <v>44047</v>
      </c>
      <c r="F48">
        <v>205</v>
      </c>
    </row>
    <row r="49" spans="1:6" x14ac:dyDescent="0.25">
      <c r="A49" t="s">
        <v>49</v>
      </c>
      <c r="B49">
        <v>1</v>
      </c>
      <c r="C49" t="s">
        <v>15</v>
      </c>
      <c r="D49" t="s">
        <v>1</v>
      </c>
      <c r="E49" s="8">
        <v>44056</v>
      </c>
      <c r="F49">
        <v>100</v>
      </c>
    </row>
    <row r="50" spans="1:6" x14ac:dyDescent="0.25">
      <c r="A50" t="s">
        <v>49</v>
      </c>
      <c r="B50">
        <v>1</v>
      </c>
      <c r="C50" t="s">
        <v>15</v>
      </c>
      <c r="D50" t="s">
        <v>1</v>
      </c>
      <c r="E50" s="8">
        <v>44057</v>
      </c>
      <c r="F50">
        <v>99</v>
      </c>
    </row>
    <row r="51" spans="1:6" x14ac:dyDescent="0.25">
      <c r="A51" t="s">
        <v>49</v>
      </c>
      <c r="B51">
        <v>1</v>
      </c>
      <c r="C51" t="s">
        <v>15</v>
      </c>
      <c r="D51" t="s">
        <v>1</v>
      </c>
      <c r="E51" s="8">
        <v>44058</v>
      </c>
      <c r="F51">
        <v>127</v>
      </c>
    </row>
    <row r="52" spans="1:6" x14ac:dyDescent="0.25">
      <c r="A52" t="s">
        <v>49</v>
      </c>
      <c r="B52">
        <v>1</v>
      </c>
      <c r="C52" t="s">
        <v>15</v>
      </c>
      <c r="D52" t="s">
        <v>1</v>
      </c>
      <c r="E52" s="8">
        <v>44059</v>
      </c>
      <c r="F52">
        <v>42</v>
      </c>
    </row>
    <row r="53" spans="1:6" x14ac:dyDescent="0.25">
      <c r="A53" t="s">
        <v>49</v>
      </c>
      <c r="B53">
        <v>1</v>
      </c>
      <c r="C53" t="s">
        <v>15</v>
      </c>
      <c r="D53" t="s">
        <v>1</v>
      </c>
      <c r="E53" s="8">
        <v>44060</v>
      </c>
      <c r="F53">
        <v>101</v>
      </c>
    </row>
    <row r="54" spans="1:6" x14ac:dyDescent="0.25">
      <c r="A54" t="s">
        <v>49</v>
      </c>
      <c r="B54">
        <v>1</v>
      </c>
      <c r="C54" t="s">
        <v>15</v>
      </c>
      <c r="D54" t="s">
        <v>1</v>
      </c>
      <c r="E54" s="8">
        <v>44061</v>
      </c>
      <c r="F54">
        <v>52</v>
      </c>
    </row>
    <row r="55" spans="1:6" x14ac:dyDescent="0.25">
      <c r="A55" t="s">
        <v>49</v>
      </c>
      <c r="B55">
        <v>1</v>
      </c>
      <c r="C55" t="s">
        <v>15</v>
      </c>
      <c r="D55" t="s">
        <v>1</v>
      </c>
      <c r="E55" s="8">
        <v>44062</v>
      </c>
      <c r="F55">
        <v>94</v>
      </c>
    </row>
    <row r="56" spans="1:6" x14ac:dyDescent="0.25">
      <c r="A56" t="s">
        <v>49</v>
      </c>
      <c r="B56">
        <v>1</v>
      </c>
      <c r="C56" t="s">
        <v>15</v>
      </c>
      <c r="D56" t="s">
        <v>1</v>
      </c>
      <c r="E56" s="8">
        <v>44063</v>
      </c>
      <c r="F56">
        <v>46</v>
      </c>
    </row>
    <row r="57" spans="1:6" x14ac:dyDescent="0.25">
      <c r="A57" t="s">
        <v>49</v>
      </c>
      <c r="B57">
        <v>1</v>
      </c>
      <c r="C57" t="s">
        <v>15</v>
      </c>
      <c r="D57" t="s">
        <v>1</v>
      </c>
      <c r="E57" s="8">
        <v>44065</v>
      </c>
      <c r="F57">
        <v>138</v>
      </c>
    </row>
    <row r="58" spans="1:6" x14ac:dyDescent="0.25">
      <c r="A58" t="s">
        <v>49</v>
      </c>
      <c r="B58">
        <v>1</v>
      </c>
      <c r="C58" t="s">
        <v>15</v>
      </c>
      <c r="D58" t="s">
        <v>1</v>
      </c>
      <c r="E58" s="8">
        <v>44066</v>
      </c>
      <c r="F58">
        <v>52</v>
      </c>
    </row>
    <row r="59" spans="1:6" x14ac:dyDescent="0.25">
      <c r="A59" t="s">
        <v>49</v>
      </c>
      <c r="B59">
        <v>1</v>
      </c>
      <c r="C59" t="s">
        <v>15</v>
      </c>
      <c r="D59" t="s">
        <v>1</v>
      </c>
      <c r="E59" s="8">
        <v>44067</v>
      </c>
      <c r="F59">
        <v>144</v>
      </c>
    </row>
    <row r="60" spans="1:6" x14ac:dyDescent="0.25">
      <c r="A60" t="s">
        <v>49</v>
      </c>
      <c r="B60">
        <v>1</v>
      </c>
      <c r="C60" t="s">
        <v>15</v>
      </c>
      <c r="D60" t="s">
        <v>1</v>
      </c>
      <c r="E60" s="8">
        <v>44068</v>
      </c>
      <c r="F60">
        <v>130</v>
      </c>
    </row>
    <row r="61" spans="1:6" x14ac:dyDescent="0.25">
      <c r="A61" t="s">
        <v>49</v>
      </c>
      <c r="B61">
        <v>1</v>
      </c>
      <c r="C61" t="s">
        <v>15</v>
      </c>
      <c r="D61" t="s">
        <v>1</v>
      </c>
      <c r="E61" s="8">
        <v>44069</v>
      </c>
      <c r="F61">
        <v>98</v>
      </c>
    </row>
    <row r="62" spans="1:6" x14ac:dyDescent="0.25">
      <c r="A62" t="s">
        <v>49</v>
      </c>
      <c r="B62">
        <v>1</v>
      </c>
      <c r="C62" t="s">
        <v>15</v>
      </c>
      <c r="D62" t="s">
        <v>1</v>
      </c>
      <c r="E62" s="8">
        <v>44070</v>
      </c>
      <c r="F62">
        <v>34</v>
      </c>
    </row>
    <row r="63" spans="1:6" x14ac:dyDescent="0.25">
      <c r="A63" t="s">
        <v>49</v>
      </c>
      <c r="B63">
        <v>1</v>
      </c>
      <c r="C63" t="s">
        <v>15</v>
      </c>
      <c r="D63" t="s">
        <v>1</v>
      </c>
      <c r="E63" s="8">
        <v>44071</v>
      </c>
      <c r="F63">
        <v>12</v>
      </c>
    </row>
    <row r="64" spans="1:6" x14ac:dyDescent="0.25">
      <c r="A64" t="s">
        <v>49</v>
      </c>
      <c r="B64">
        <v>1</v>
      </c>
      <c r="C64" t="s">
        <v>15</v>
      </c>
      <c r="D64" t="s">
        <v>1</v>
      </c>
      <c r="E64" s="8">
        <v>44072</v>
      </c>
      <c r="F64">
        <v>84</v>
      </c>
    </row>
    <row r="65" spans="1:6" x14ac:dyDescent="0.25">
      <c r="A65" t="s">
        <v>49</v>
      </c>
      <c r="B65">
        <v>1</v>
      </c>
      <c r="C65" t="s">
        <v>15</v>
      </c>
      <c r="D65" t="s">
        <v>1</v>
      </c>
      <c r="E65" s="8">
        <v>44073</v>
      </c>
      <c r="F65">
        <v>73</v>
      </c>
    </row>
    <row r="66" spans="1:6" x14ac:dyDescent="0.25">
      <c r="A66" t="s">
        <v>49</v>
      </c>
      <c r="B66">
        <v>1</v>
      </c>
      <c r="C66" t="s">
        <v>15</v>
      </c>
      <c r="D66" t="s">
        <v>1</v>
      </c>
      <c r="E66" s="8">
        <v>44074</v>
      </c>
      <c r="F66">
        <v>122</v>
      </c>
    </row>
    <row r="67" spans="1:6" x14ac:dyDescent="0.25">
      <c r="A67" t="s">
        <v>49</v>
      </c>
      <c r="B67">
        <v>1</v>
      </c>
      <c r="C67" t="s">
        <v>15</v>
      </c>
      <c r="D67" t="s">
        <v>1</v>
      </c>
      <c r="E67" s="8">
        <v>44075</v>
      </c>
      <c r="F67">
        <v>100</v>
      </c>
    </row>
    <row r="68" spans="1:6" x14ac:dyDescent="0.25">
      <c r="A68" t="s">
        <v>49</v>
      </c>
      <c r="B68">
        <v>1</v>
      </c>
      <c r="C68" t="s">
        <v>15</v>
      </c>
      <c r="D68" t="s">
        <v>1</v>
      </c>
      <c r="E68" s="8">
        <v>44079</v>
      </c>
      <c r="F68">
        <v>83</v>
      </c>
    </row>
    <row r="69" spans="1:6" x14ac:dyDescent="0.25">
      <c r="A69" t="s">
        <v>49</v>
      </c>
      <c r="B69">
        <v>1</v>
      </c>
      <c r="C69" t="s">
        <v>15</v>
      </c>
      <c r="D69" t="s">
        <v>1</v>
      </c>
      <c r="E69" s="8">
        <v>44080</v>
      </c>
      <c r="F69">
        <v>89</v>
      </c>
    </row>
    <row r="70" spans="1:6" x14ac:dyDescent="0.25">
      <c r="A70" t="s">
        <v>49</v>
      </c>
      <c r="B70">
        <v>1</v>
      </c>
      <c r="C70" t="s">
        <v>15</v>
      </c>
      <c r="D70" t="s">
        <v>1</v>
      </c>
      <c r="E70" s="8">
        <v>44082</v>
      </c>
      <c r="F70">
        <v>62</v>
      </c>
    </row>
    <row r="71" spans="1:6" x14ac:dyDescent="0.25">
      <c r="A71" t="s">
        <v>49</v>
      </c>
      <c r="B71">
        <v>1</v>
      </c>
      <c r="C71" t="s">
        <v>15</v>
      </c>
      <c r="D71" t="s">
        <v>1</v>
      </c>
      <c r="E71" s="8">
        <v>44083</v>
      </c>
      <c r="F71">
        <v>107</v>
      </c>
    </row>
    <row r="72" spans="1:6" x14ac:dyDescent="0.25">
      <c r="A72" t="s">
        <v>49</v>
      </c>
      <c r="B72">
        <v>1</v>
      </c>
      <c r="C72" t="s">
        <v>15</v>
      </c>
      <c r="D72" t="s">
        <v>1</v>
      </c>
      <c r="E72" s="8">
        <v>44084</v>
      </c>
      <c r="F72">
        <v>15</v>
      </c>
    </row>
    <row r="73" spans="1:6" x14ac:dyDescent="0.25">
      <c r="A73" t="s">
        <v>49</v>
      </c>
      <c r="B73">
        <v>1</v>
      </c>
      <c r="C73" t="s">
        <v>15</v>
      </c>
      <c r="D73" t="s">
        <v>1</v>
      </c>
      <c r="E73" s="8">
        <v>44085</v>
      </c>
      <c r="F73">
        <v>57</v>
      </c>
    </row>
    <row r="74" spans="1:6" x14ac:dyDescent="0.25">
      <c r="A74" t="s">
        <v>49</v>
      </c>
      <c r="B74">
        <v>1</v>
      </c>
      <c r="C74" t="s">
        <v>15</v>
      </c>
      <c r="D74" t="s">
        <v>1</v>
      </c>
      <c r="E74" s="8">
        <v>44086</v>
      </c>
      <c r="F74">
        <v>47</v>
      </c>
    </row>
    <row r="75" spans="1:6" x14ac:dyDescent="0.25">
      <c r="A75" t="s">
        <v>49</v>
      </c>
      <c r="B75">
        <v>1</v>
      </c>
      <c r="C75" t="s">
        <v>15</v>
      </c>
      <c r="D75" t="s">
        <v>1</v>
      </c>
      <c r="E75" s="8">
        <v>44087</v>
      </c>
      <c r="F75">
        <v>0</v>
      </c>
    </row>
    <row r="76" spans="1:6" x14ac:dyDescent="0.25">
      <c r="A76" t="s">
        <v>49</v>
      </c>
      <c r="B76">
        <v>1</v>
      </c>
      <c r="C76" t="s">
        <v>15</v>
      </c>
      <c r="D76" t="s">
        <v>1</v>
      </c>
      <c r="E76" s="8">
        <v>44088</v>
      </c>
      <c r="F76">
        <v>72</v>
      </c>
    </row>
    <row r="77" spans="1:6" x14ac:dyDescent="0.25">
      <c r="A77" t="s">
        <v>49</v>
      </c>
      <c r="B77">
        <v>1</v>
      </c>
      <c r="C77" t="s">
        <v>15</v>
      </c>
      <c r="D77" t="s">
        <v>1</v>
      </c>
      <c r="E77" s="8">
        <v>44089</v>
      </c>
      <c r="F77">
        <v>42</v>
      </c>
    </row>
    <row r="78" spans="1:6" x14ac:dyDescent="0.25">
      <c r="A78" t="s">
        <v>49</v>
      </c>
      <c r="B78">
        <v>1</v>
      </c>
      <c r="C78" t="s">
        <v>15</v>
      </c>
      <c r="D78" t="s">
        <v>1</v>
      </c>
      <c r="E78" s="8">
        <v>44090</v>
      </c>
      <c r="F78">
        <v>108</v>
      </c>
    </row>
    <row r="79" spans="1:6" x14ac:dyDescent="0.25">
      <c r="A79" t="s">
        <v>49</v>
      </c>
      <c r="B79">
        <v>1</v>
      </c>
      <c r="C79" t="s">
        <v>15</v>
      </c>
      <c r="D79" t="s">
        <v>1</v>
      </c>
      <c r="E79" s="8">
        <v>44091</v>
      </c>
      <c r="F79">
        <v>87</v>
      </c>
    </row>
    <row r="80" spans="1:6" x14ac:dyDescent="0.25">
      <c r="A80" t="s">
        <v>49</v>
      </c>
      <c r="B80">
        <v>1</v>
      </c>
      <c r="C80" t="s">
        <v>15</v>
      </c>
      <c r="D80" t="s">
        <v>1</v>
      </c>
      <c r="E80" s="8">
        <v>44092</v>
      </c>
      <c r="F80">
        <v>47</v>
      </c>
    </row>
    <row r="81" spans="1:6" x14ac:dyDescent="0.25">
      <c r="A81" t="s">
        <v>49</v>
      </c>
      <c r="B81">
        <v>1</v>
      </c>
      <c r="C81" t="s">
        <v>15</v>
      </c>
      <c r="D81" t="s">
        <v>1</v>
      </c>
      <c r="E81" s="8">
        <v>44093</v>
      </c>
      <c r="F81">
        <v>120</v>
      </c>
    </row>
    <row r="82" spans="1:6" x14ac:dyDescent="0.25">
      <c r="A82" t="s">
        <v>49</v>
      </c>
      <c r="B82">
        <v>1</v>
      </c>
      <c r="C82" t="s">
        <v>15</v>
      </c>
      <c r="D82" t="s">
        <v>1</v>
      </c>
      <c r="E82" s="8">
        <v>44094</v>
      </c>
      <c r="F82">
        <v>82</v>
      </c>
    </row>
    <row r="83" spans="1:6" x14ac:dyDescent="0.25">
      <c r="A83" t="s">
        <v>49</v>
      </c>
      <c r="B83">
        <v>1</v>
      </c>
      <c r="C83" t="s">
        <v>15</v>
      </c>
      <c r="D83" t="s">
        <v>1</v>
      </c>
      <c r="E83" s="8">
        <v>44095</v>
      </c>
      <c r="F83">
        <v>76</v>
      </c>
    </row>
    <row r="84" spans="1:6" x14ac:dyDescent="0.25">
      <c r="A84" t="s">
        <v>49</v>
      </c>
      <c r="B84">
        <v>1</v>
      </c>
      <c r="C84" t="s">
        <v>15</v>
      </c>
      <c r="D84" t="s">
        <v>1</v>
      </c>
      <c r="E84" s="8">
        <v>44097</v>
      </c>
      <c r="F84">
        <v>0</v>
      </c>
    </row>
    <row r="85" spans="1:6" x14ac:dyDescent="0.25">
      <c r="A85" t="s">
        <v>49</v>
      </c>
      <c r="B85">
        <v>1</v>
      </c>
      <c r="C85" t="s">
        <v>15</v>
      </c>
      <c r="D85" t="s">
        <v>1</v>
      </c>
      <c r="E85" s="8">
        <v>44099</v>
      </c>
      <c r="F85">
        <v>127</v>
      </c>
    </row>
    <row r="86" spans="1:6" x14ac:dyDescent="0.25">
      <c r="A86" t="s">
        <v>49</v>
      </c>
      <c r="B86">
        <v>1</v>
      </c>
      <c r="C86" t="s">
        <v>16</v>
      </c>
      <c r="D86" t="s">
        <v>1</v>
      </c>
      <c r="E86" s="8">
        <v>44041</v>
      </c>
      <c r="F86">
        <v>213</v>
      </c>
    </row>
    <row r="87" spans="1:6" x14ac:dyDescent="0.25">
      <c r="A87" t="s">
        <v>49</v>
      </c>
      <c r="B87">
        <v>1</v>
      </c>
      <c r="C87" t="s">
        <v>16</v>
      </c>
      <c r="D87" t="s">
        <v>1</v>
      </c>
      <c r="E87" s="8">
        <v>44042</v>
      </c>
      <c r="F87">
        <v>133</v>
      </c>
    </row>
    <row r="88" spans="1:6" x14ac:dyDescent="0.25">
      <c r="A88" t="s">
        <v>49</v>
      </c>
      <c r="B88">
        <v>1</v>
      </c>
      <c r="C88" t="s">
        <v>16</v>
      </c>
      <c r="D88" t="s">
        <v>1</v>
      </c>
      <c r="E88" s="8">
        <v>44043</v>
      </c>
      <c r="F88">
        <v>80</v>
      </c>
    </row>
    <row r="89" spans="1:6" x14ac:dyDescent="0.25">
      <c r="A89" t="s">
        <v>49</v>
      </c>
      <c r="B89">
        <v>1</v>
      </c>
      <c r="C89" t="s">
        <v>16</v>
      </c>
      <c r="D89" t="s">
        <v>1</v>
      </c>
      <c r="E89" s="8">
        <v>44044</v>
      </c>
      <c r="F89">
        <v>82</v>
      </c>
    </row>
    <row r="90" spans="1:6" x14ac:dyDescent="0.25">
      <c r="A90" t="s">
        <v>49</v>
      </c>
      <c r="B90">
        <v>1</v>
      </c>
      <c r="C90" t="s">
        <v>16</v>
      </c>
      <c r="D90" t="s">
        <v>1</v>
      </c>
      <c r="E90" s="8">
        <v>44045</v>
      </c>
      <c r="F90">
        <v>122</v>
      </c>
    </row>
    <row r="91" spans="1:6" x14ac:dyDescent="0.25">
      <c r="A91" t="s">
        <v>49</v>
      </c>
      <c r="B91">
        <v>1</v>
      </c>
      <c r="C91" t="s">
        <v>16</v>
      </c>
      <c r="D91" t="s">
        <v>1</v>
      </c>
      <c r="E91" s="8">
        <v>44104</v>
      </c>
      <c r="F91">
        <v>138</v>
      </c>
    </row>
    <row r="92" spans="1:6" x14ac:dyDescent="0.25">
      <c r="A92" t="s">
        <v>49</v>
      </c>
      <c r="B92">
        <v>1</v>
      </c>
      <c r="C92" t="s">
        <v>16</v>
      </c>
      <c r="D92" t="s">
        <v>1</v>
      </c>
      <c r="E92" s="8">
        <v>44110</v>
      </c>
      <c r="F92">
        <v>123</v>
      </c>
    </row>
    <row r="93" spans="1:6" x14ac:dyDescent="0.25">
      <c r="A93" t="s">
        <v>49</v>
      </c>
      <c r="B93">
        <v>1</v>
      </c>
      <c r="C93" t="s">
        <v>16</v>
      </c>
      <c r="D93" t="s">
        <v>1</v>
      </c>
      <c r="E93" s="8">
        <v>44111</v>
      </c>
      <c r="F93">
        <v>135</v>
      </c>
    </row>
    <row r="94" spans="1:6" x14ac:dyDescent="0.25">
      <c r="A94" t="s">
        <v>49</v>
      </c>
      <c r="B94">
        <v>1</v>
      </c>
      <c r="C94" t="s">
        <v>16</v>
      </c>
      <c r="D94" t="s">
        <v>1</v>
      </c>
      <c r="E94" s="8">
        <v>44112</v>
      </c>
      <c r="F94">
        <v>146</v>
      </c>
    </row>
    <row r="95" spans="1:6" x14ac:dyDescent="0.25">
      <c r="A95" t="s">
        <v>49</v>
      </c>
      <c r="B95">
        <v>1</v>
      </c>
      <c r="C95" t="s">
        <v>16</v>
      </c>
      <c r="D95" t="s">
        <v>1</v>
      </c>
      <c r="E95" s="8">
        <v>44113</v>
      </c>
      <c r="F95">
        <v>28</v>
      </c>
    </row>
    <row r="96" spans="1:6" x14ac:dyDescent="0.25">
      <c r="A96" t="s">
        <v>49</v>
      </c>
      <c r="B96">
        <v>1</v>
      </c>
      <c r="C96" t="s">
        <v>16</v>
      </c>
      <c r="D96" t="s">
        <v>1</v>
      </c>
      <c r="E96" s="8">
        <v>44115</v>
      </c>
      <c r="F96">
        <v>28</v>
      </c>
    </row>
    <row r="97" spans="1:6" x14ac:dyDescent="0.25">
      <c r="A97" t="s">
        <v>49</v>
      </c>
      <c r="B97">
        <v>1</v>
      </c>
      <c r="C97" t="s">
        <v>16</v>
      </c>
      <c r="D97" t="s">
        <v>1</v>
      </c>
      <c r="E97" s="8">
        <v>44116</v>
      </c>
      <c r="F97">
        <v>113</v>
      </c>
    </row>
    <row r="98" spans="1:6" x14ac:dyDescent="0.25">
      <c r="A98" t="s">
        <v>49</v>
      </c>
      <c r="B98">
        <v>1</v>
      </c>
      <c r="C98" t="s">
        <v>16</v>
      </c>
      <c r="D98" t="s">
        <v>1</v>
      </c>
      <c r="E98" s="8">
        <v>44117</v>
      </c>
      <c r="F98">
        <v>226</v>
      </c>
    </row>
    <row r="99" spans="1:6" x14ac:dyDescent="0.25">
      <c r="A99" t="s">
        <v>49</v>
      </c>
      <c r="B99">
        <v>1</v>
      </c>
      <c r="C99" t="s">
        <v>16</v>
      </c>
      <c r="D99" t="s">
        <v>1</v>
      </c>
      <c r="E99" s="8">
        <v>44118</v>
      </c>
      <c r="F99">
        <v>193</v>
      </c>
    </row>
    <row r="100" spans="1:6" x14ac:dyDescent="0.25">
      <c r="A100" t="s">
        <v>49</v>
      </c>
      <c r="B100">
        <v>1</v>
      </c>
      <c r="C100" t="s">
        <v>16</v>
      </c>
      <c r="D100" t="s">
        <v>1</v>
      </c>
      <c r="E100" s="8">
        <v>44119</v>
      </c>
      <c r="F100">
        <v>75</v>
      </c>
    </row>
    <row r="101" spans="1:6" x14ac:dyDescent="0.25">
      <c r="A101" t="s">
        <v>49</v>
      </c>
      <c r="B101">
        <v>1</v>
      </c>
      <c r="C101" t="s">
        <v>16</v>
      </c>
      <c r="D101" t="s">
        <v>1</v>
      </c>
      <c r="E101" s="8">
        <v>44120</v>
      </c>
      <c r="F101">
        <v>157</v>
      </c>
    </row>
    <row r="102" spans="1:6" x14ac:dyDescent="0.25">
      <c r="A102" t="s">
        <v>49</v>
      </c>
      <c r="B102">
        <v>1</v>
      </c>
      <c r="C102" t="s">
        <v>16</v>
      </c>
      <c r="D102" t="s">
        <v>1</v>
      </c>
      <c r="E102" s="8">
        <v>44121</v>
      </c>
      <c r="F102">
        <v>210</v>
      </c>
    </row>
    <row r="103" spans="1:6" x14ac:dyDescent="0.25">
      <c r="A103" t="s">
        <v>49</v>
      </c>
      <c r="B103">
        <v>1</v>
      </c>
      <c r="C103" t="s">
        <v>16</v>
      </c>
      <c r="D103" t="s">
        <v>1</v>
      </c>
      <c r="E103" s="8">
        <v>44122</v>
      </c>
      <c r="F103">
        <v>108</v>
      </c>
    </row>
    <row r="104" spans="1:6" x14ac:dyDescent="0.25">
      <c r="A104" t="s">
        <v>49</v>
      </c>
      <c r="B104">
        <v>1</v>
      </c>
      <c r="C104" t="s">
        <v>16</v>
      </c>
      <c r="D104" t="s">
        <v>1</v>
      </c>
      <c r="E104" s="8">
        <v>44123</v>
      </c>
      <c r="F104">
        <v>82</v>
      </c>
    </row>
    <row r="105" spans="1:6" x14ac:dyDescent="0.25">
      <c r="A105" t="s">
        <v>49</v>
      </c>
      <c r="B105">
        <v>1</v>
      </c>
      <c r="C105" t="s">
        <v>16</v>
      </c>
      <c r="D105" t="s">
        <v>1</v>
      </c>
      <c r="E105" s="8">
        <v>44124</v>
      </c>
      <c r="F105">
        <v>45</v>
      </c>
    </row>
    <row r="106" spans="1:6" x14ac:dyDescent="0.25">
      <c r="A106" t="s">
        <v>49</v>
      </c>
      <c r="B106">
        <v>1</v>
      </c>
      <c r="C106" t="s">
        <v>16</v>
      </c>
      <c r="D106" t="s">
        <v>1</v>
      </c>
      <c r="E106" s="8">
        <v>44125</v>
      </c>
      <c r="F106">
        <v>1</v>
      </c>
    </row>
    <row r="107" spans="1:6" x14ac:dyDescent="0.25">
      <c r="A107" t="s">
        <v>49</v>
      </c>
      <c r="B107">
        <v>1</v>
      </c>
      <c r="C107" t="s">
        <v>16</v>
      </c>
      <c r="D107" t="s">
        <v>1</v>
      </c>
      <c r="E107" s="8">
        <v>44126</v>
      </c>
      <c r="F107">
        <v>43</v>
      </c>
    </row>
    <row r="108" spans="1:6" x14ac:dyDescent="0.25">
      <c r="A108" t="s">
        <v>49</v>
      </c>
      <c r="B108">
        <v>1</v>
      </c>
      <c r="C108" t="s">
        <v>16</v>
      </c>
      <c r="D108" t="s">
        <v>1</v>
      </c>
      <c r="E108" s="8">
        <v>44127</v>
      </c>
      <c r="F108">
        <v>90</v>
      </c>
    </row>
    <row r="109" spans="1:6" x14ac:dyDescent="0.25">
      <c r="A109" t="s">
        <v>49</v>
      </c>
      <c r="B109">
        <v>1</v>
      </c>
      <c r="C109" t="s">
        <v>16</v>
      </c>
      <c r="D109" t="s">
        <v>1</v>
      </c>
      <c r="E109" s="8">
        <v>44128</v>
      </c>
      <c r="F109">
        <v>20</v>
      </c>
    </row>
    <row r="110" spans="1:6" x14ac:dyDescent="0.25">
      <c r="A110" t="s">
        <v>49</v>
      </c>
      <c r="B110">
        <v>1</v>
      </c>
      <c r="C110" t="s">
        <v>16</v>
      </c>
      <c r="D110" t="s">
        <v>1</v>
      </c>
      <c r="E110" s="8">
        <v>44130</v>
      </c>
      <c r="F110">
        <v>98</v>
      </c>
    </row>
    <row r="111" spans="1:6" x14ac:dyDescent="0.25">
      <c r="A111" t="s">
        <v>49</v>
      </c>
      <c r="B111">
        <v>1</v>
      </c>
      <c r="C111" t="s">
        <v>16</v>
      </c>
      <c r="D111" t="s">
        <v>1</v>
      </c>
      <c r="E111" s="8">
        <v>44135</v>
      </c>
      <c r="F111">
        <v>11</v>
      </c>
    </row>
    <row r="112" spans="1:6" x14ac:dyDescent="0.25">
      <c r="A112" t="s">
        <v>49</v>
      </c>
      <c r="B112">
        <v>1</v>
      </c>
      <c r="C112" t="s">
        <v>16</v>
      </c>
      <c r="D112" t="s">
        <v>1</v>
      </c>
      <c r="E112" s="8">
        <v>44136</v>
      </c>
      <c r="F112">
        <v>50</v>
      </c>
    </row>
    <row r="113" spans="1:6" x14ac:dyDescent="0.25">
      <c r="A113" t="s">
        <v>49</v>
      </c>
      <c r="B113">
        <v>1</v>
      </c>
      <c r="C113" t="s">
        <v>16</v>
      </c>
      <c r="D113" t="s">
        <v>1</v>
      </c>
      <c r="E113" s="8">
        <v>44139</v>
      </c>
      <c r="F113">
        <v>79</v>
      </c>
    </row>
    <row r="114" spans="1:6" x14ac:dyDescent="0.25">
      <c r="A114" t="s">
        <v>49</v>
      </c>
      <c r="B114">
        <v>1</v>
      </c>
      <c r="C114" t="s">
        <v>16</v>
      </c>
      <c r="D114" t="s">
        <v>1</v>
      </c>
      <c r="E114" s="8">
        <v>44140</v>
      </c>
      <c r="F114">
        <v>139</v>
      </c>
    </row>
    <row r="115" spans="1:6" x14ac:dyDescent="0.25">
      <c r="A115" t="s">
        <v>49</v>
      </c>
      <c r="B115">
        <v>1</v>
      </c>
      <c r="C115" t="s">
        <v>16</v>
      </c>
      <c r="D115" t="s">
        <v>1</v>
      </c>
      <c r="E115" s="8">
        <v>44141</v>
      </c>
      <c r="F115">
        <v>51</v>
      </c>
    </row>
    <row r="116" spans="1:6" x14ac:dyDescent="0.25">
      <c r="A116" t="s">
        <v>49</v>
      </c>
      <c r="B116">
        <v>1</v>
      </c>
      <c r="C116" t="s">
        <v>16</v>
      </c>
      <c r="D116" t="s">
        <v>1</v>
      </c>
      <c r="E116" s="8">
        <v>44142</v>
      </c>
      <c r="F116">
        <v>24</v>
      </c>
    </row>
    <row r="117" spans="1:6" x14ac:dyDescent="0.25">
      <c r="A117" t="s">
        <v>49</v>
      </c>
      <c r="B117">
        <v>1</v>
      </c>
      <c r="C117" t="s">
        <v>16</v>
      </c>
      <c r="D117" t="s">
        <v>1</v>
      </c>
      <c r="E117" s="8">
        <v>44143</v>
      </c>
      <c r="F117">
        <v>64</v>
      </c>
    </row>
    <row r="118" spans="1:6" x14ac:dyDescent="0.25">
      <c r="A118" t="s">
        <v>49</v>
      </c>
      <c r="B118">
        <v>1</v>
      </c>
      <c r="C118" t="s">
        <v>16</v>
      </c>
      <c r="D118" t="s">
        <v>1</v>
      </c>
      <c r="E118" s="8">
        <v>44144</v>
      </c>
      <c r="F118">
        <v>59</v>
      </c>
    </row>
    <row r="119" spans="1:6" x14ac:dyDescent="0.25">
      <c r="A119" t="s">
        <v>49</v>
      </c>
      <c r="B119">
        <v>1</v>
      </c>
      <c r="C119" t="s">
        <v>16</v>
      </c>
      <c r="D119" t="s">
        <v>1</v>
      </c>
      <c r="E119" s="8">
        <v>44145</v>
      </c>
      <c r="F119">
        <v>61</v>
      </c>
    </row>
    <row r="120" spans="1:6" x14ac:dyDescent="0.25">
      <c r="A120" t="s">
        <v>49</v>
      </c>
      <c r="B120">
        <v>1</v>
      </c>
      <c r="C120" t="s">
        <v>16</v>
      </c>
      <c r="D120" t="s">
        <v>1</v>
      </c>
      <c r="E120" s="8">
        <v>44146</v>
      </c>
      <c r="F120">
        <v>72</v>
      </c>
    </row>
    <row r="121" spans="1:6" x14ac:dyDescent="0.25">
      <c r="A121" t="s">
        <v>49</v>
      </c>
      <c r="B121">
        <v>1</v>
      </c>
      <c r="C121" t="s">
        <v>17</v>
      </c>
      <c r="D121" t="s">
        <v>0</v>
      </c>
      <c r="E121" s="8">
        <v>44051</v>
      </c>
      <c r="F121">
        <v>109</v>
      </c>
    </row>
    <row r="122" spans="1:6" x14ac:dyDescent="0.25">
      <c r="A122" t="s">
        <v>49</v>
      </c>
      <c r="B122">
        <v>1</v>
      </c>
      <c r="C122" t="s">
        <v>17</v>
      </c>
      <c r="D122" t="s">
        <v>0</v>
      </c>
      <c r="E122" s="8">
        <v>44052</v>
      </c>
      <c r="F122">
        <v>177</v>
      </c>
    </row>
    <row r="123" spans="1:6" x14ac:dyDescent="0.25">
      <c r="A123" t="s">
        <v>49</v>
      </c>
      <c r="B123">
        <v>1</v>
      </c>
      <c r="C123" t="s">
        <v>17</v>
      </c>
      <c r="D123" t="s">
        <v>0</v>
      </c>
      <c r="E123" s="8">
        <v>44053</v>
      </c>
      <c r="F123">
        <v>252</v>
      </c>
    </row>
    <row r="124" spans="1:6" x14ac:dyDescent="0.25">
      <c r="A124" t="s">
        <v>49</v>
      </c>
      <c r="B124">
        <v>1</v>
      </c>
      <c r="C124" t="s">
        <v>17</v>
      </c>
      <c r="D124" t="s">
        <v>0</v>
      </c>
      <c r="E124" s="8">
        <v>44054</v>
      </c>
      <c r="F124">
        <v>197</v>
      </c>
    </row>
    <row r="125" spans="1:6" x14ac:dyDescent="0.25">
      <c r="A125" t="s">
        <v>49</v>
      </c>
      <c r="B125">
        <v>1</v>
      </c>
      <c r="C125" t="s">
        <v>17</v>
      </c>
      <c r="D125" t="s">
        <v>0</v>
      </c>
      <c r="E125" s="8">
        <v>44055</v>
      </c>
      <c r="F125">
        <v>213</v>
      </c>
    </row>
    <row r="126" spans="1:6" x14ac:dyDescent="0.25">
      <c r="A126" t="s">
        <v>49</v>
      </c>
      <c r="B126">
        <v>1</v>
      </c>
      <c r="C126" t="s">
        <v>17</v>
      </c>
      <c r="D126" t="s">
        <v>0</v>
      </c>
      <c r="E126" s="8">
        <v>44056</v>
      </c>
      <c r="F126">
        <v>135</v>
      </c>
    </row>
    <row r="127" spans="1:6" x14ac:dyDescent="0.25">
      <c r="A127" t="s">
        <v>49</v>
      </c>
      <c r="B127">
        <v>1</v>
      </c>
      <c r="C127" t="s">
        <v>17</v>
      </c>
      <c r="D127" t="s">
        <v>1</v>
      </c>
      <c r="E127" s="8">
        <v>44050</v>
      </c>
      <c r="F127">
        <v>12</v>
      </c>
    </row>
    <row r="128" spans="1:6" x14ac:dyDescent="0.25">
      <c r="A128" t="s">
        <v>49</v>
      </c>
      <c r="B128">
        <v>1</v>
      </c>
      <c r="C128" t="s">
        <v>17</v>
      </c>
      <c r="D128" t="s">
        <v>1</v>
      </c>
      <c r="E128" s="8">
        <v>44051</v>
      </c>
      <c r="F128">
        <v>58</v>
      </c>
    </row>
    <row r="129" spans="1:6" x14ac:dyDescent="0.25">
      <c r="A129" t="s">
        <v>49</v>
      </c>
      <c r="B129">
        <v>1</v>
      </c>
      <c r="C129" t="s">
        <v>17</v>
      </c>
      <c r="D129" t="s">
        <v>1</v>
      </c>
      <c r="E129" s="8">
        <v>44146</v>
      </c>
      <c r="F129">
        <v>122</v>
      </c>
    </row>
    <row r="130" spans="1:6" x14ac:dyDescent="0.25">
      <c r="A130" t="s">
        <v>49</v>
      </c>
      <c r="B130">
        <v>1</v>
      </c>
      <c r="C130" t="s">
        <v>17</v>
      </c>
      <c r="D130" t="s">
        <v>1</v>
      </c>
      <c r="E130" s="8">
        <v>44147</v>
      </c>
      <c r="F130">
        <v>147</v>
      </c>
    </row>
    <row r="131" spans="1:6" x14ac:dyDescent="0.25">
      <c r="A131" t="s">
        <v>49</v>
      </c>
      <c r="B131">
        <v>1</v>
      </c>
      <c r="C131" t="s">
        <v>17</v>
      </c>
      <c r="D131" t="s">
        <v>1</v>
      </c>
      <c r="E131" s="8">
        <v>44148</v>
      </c>
      <c r="F131">
        <v>215</v>
      </c>
    </row>
    <row r="132" spans="1:6" x14ac:dyDescent="0.25">
      <c r="A132" t="s">
        <v>49</v>
      </c>
      <c r="B132">
        <v>1</v>
      </c>
      <c r="C132" t="s">
        <v>17</v>
      </c>
      <c r="D132" t="s">
        <v>1</v>
      </c>
      <c r="E132" s="8">
        <v>44149</v>
      </c>
      <c r="F132">
        <v>144</v>
      </c>
    </row>
    <row r="133" spans="1:6" x14ac:dyDescent="0.25">
      <c r="A133" t="s">
        <v>49</v>
      </c>
      <c r="B133">
        <v>1</v>
      </c>
      <c r="C133" t="s">
        <v>17</v>
      </c>
      <c r="D133" t="s">
        <v>1</v>
      </c>
      <c r="E133" s="8">
        <v>44150</v>
      </c>
      <c r="F133">
        <v>117</v>
      </c>
    </row>
    <row r="134" spans="1:6" x14ac:dyDescent="0.25">
      <c r="A134" t="s">
        <v>49</v>
      </c>
      <c r="B134">
        <v>1</v>
      </c>
      <c r="C134" t="s">
        <v>17</v>
      </c>
      <c r="D134" t="s">
        <v>1</v>
      </c>
      <c r="E134" s="8">
        <v>44151</v>
      </c>
      <c r="F134">
        <v>6</v>
      </c>
    </row>
    <row r="135" spans="1:6" x14ac:dyDescent="0.25">
      <c r="A135" t="s">
        <v>49</v>
      </c>
      <c r="B135">
        <v>1</v>
      </c>
      <c r="C135" t="s">
        <v>17</v>
      </c>
      <c r="D135" t="s">
        <v>1</v>
      </c>
      <c r="E135" s="8">
        <v>44152</v>
      </c>
      <c r="F135">
        <v>13</v>
      </c>
    </row>
    <row r="136" spans="1:6" x14ac:dyDescent="0.25">
      <c r="A136" t="s">
        <v>49</v>
      </c>
      <c r="B136">
        <v>1</v>
      </c>
      <c r="C136" t="s">
        <v>17</v>
      </c>
      <c r="D136" t="s">
        <v>1</v>
      </c>
      <c r="E136" s="8">
        <v>44153</v>
      </c>
      <c r="F136">
        <v>10</v>
      </c>
    </row>
    <row r="137" spans="1:6" x14ac:dyDescent="0.25">
      <c r="A137" t="s">
        <v>49</v>
      </c>
      <c r="B137">
        <v>1</v>
      </c>
      <c r="C137" t="s">
        <v>17</v>
      </c>
      <c r="D137" t="s">
        <v>1</v>
      </c>
      <c r="E137" s="8">
        <v>44155</v>
      </c>
      <c r="F137">
        <v>93</v>
      </c>
    </row>
    <row r="138" spans="1:6" x14ac:dyDescent="0.25">
      <c r="A138" t="s">
        <v>49</v>
      </c>
      <c r="B138">
        <v>1</v>
      </c>
      <c r="C138" t="s">
        <v>17</v>
      </c>
      <c r="D138" t="s">
        <v>1</v>
      </c>
      <c r="E138" s="8">
        <v>44156</v>
      </c>
      <c r="F138">
        <v>71</v>
      </c>
    </row>
    <row r="139" spans="1:6" x14ac:dyDescent="0.25">
      <c r="A139" t="s">
        <v>49</v>
      </c>
      <c r="B139">
        <v>1</v>
      </c>
      <c r="C139" t="s">
        <v>17</v>
      </c>
      <c r="D139" t="s">
        <v>1</v>
      </c>
      <c r="E139" s="8">
        <v>44158</v>
      </c>
      <c r="F139">
        <v>105</v>
      </c>
    </row>
    <row r="140" spans="1:6" x14ac:dyDescent="0.25">
      <c r="A140" t="s">
        <v>49</v>
      </c>
      <c r="B140">
        <v>1</v>
      </c>
      <c r="C140" t="s">
        <v>17</v>
      </c>
      <c r="D140" t="s">
        <v>1</v>
      </c>
      <c r="E140" s="8">
        <v>44159</v>
      </c>
      <c r="F140">
        <v>43</v>
      </c>
    </row>
    <row r="141" spans="1:6" x14ac:dyDescent="0.25">
      <c r="A141" t="s">
        <v>49</v>
      </c>
      <c r="B141">
        <v>1</v>
      </c>
      <c r="C141" t="s">
        <v>17</v>
      </c>
      <c r="D141" t="s">
        <v>1</v>
      </c>
      <c r="E141" s="8">
        <v>44161</v>
      </c>
      <c r="F141">
        <v>40</v>
      </c>
    </row>
    <row r="142" spans="1:6" x14ac:dyDescent="0.25">
      <c r="A142" t="s">
        <v>49</v>
      </c>
      <c r="B142">
        <v>1</v>
      </c>
      <c r="C142" t="s">
        <v>17</v>
      </c>
      <c r="D142" t="s">
        <v>1</v>
      </c>
      <c r="E142" s="8">
        <v>44162</v>
      </c>
      <c r="F142">
        <v>110</v>
      </c>
    </row>
    <row r="143" spans="1:6" x14ac:dyDescent="0.25">
      <c r="A143" t="s">
        <v>49</v>
      </c>
      <c r="B143">
        <v>1</v>
      </c>
      <c r="C143" t="s">
        <v>17</v>
      </c>
      <c r="D143" t="s">
        <v>1</v>
      </c>
      <c r="E143" s="8">
        <v>44163</v>
      </c>
      <c r="F143">
        <v>48</v>
      </c>
    </row>
    <row r="144" spans="1:6" x14ac:dyDescent="0.25">
      <c r="A144" t="s">
        <v>49</v>
      </c>
      <c r="B144">
        <v>1</v>
      </c>
      <c r="C144" t="s">
        <v>17</v>
      </c>
      <c r="D144" t="s">
        <v>1</v>
      </c>
      <c r="E144" s="8">
        <v>44164</v>
      </c>
      <c r="F144">
        <v>31</v>
      </c>
    </row>
    <row r="145" spans="1:6" x14ac:dyDescent="0.25">
      <c r="A145" t="s">
        <v>49</v>
      </c>
      <c r="B145">
        <v>1</v>
      </c>
      <c r="C145" t="s">
        <v>17</v>
      </c>
      <c r="D145" t="s">
        <v>1</v>
      </c>
      <c r="E145" s="8">
        <v>44165</v>
      </c>
      <c r="F145">
        <v>30</v>
      </c>
    </row>
    <row r="146" spans="1:6" x14ac:dyDescent="0.25">
      <c r="A146" t="s">
        <v>49</v>
      </c>
      <c r="B146">
        <v>1</v>
      </c>
      <c r="C146" t="s">
        <v>17</v>
      </c>
      <c r="D146" t="s">
        <v>1</v>
      </c>
      <c r="E146" s="8">
        <v>44168</v>
      </c>
      <c r="F146">
        <v>62</v>
      </c>
    </row>
    <row r="147" spans="1:6" x14ac:dyDescent="0.25">
      <c r="A147" t="s">
        <v>49</v>
      </c>
      <c r="B147">
        <v>1</v>
      </c>
      <c r="C147" t="s">
        <v>17</v>
      </c>
      <c r="D147" t="s">
        <v>1</v>
      </c>
      <c r="E147" s="8">
        <v>44169</v>
      </c>
      <c r="F147">
        <v>139</v>
      </c>
    </row>
    <row r="148" spans="1:6" x14ac:dyDescent="0.25">
      <c r="A148" t="s">
        <v>49</v>
      </c>
      <c r="B148">
        <v>1</v>
      </c>
      <c r="C148" t="s">
        <v>17</v>
      </c>
      <c r="D148" t="s">
        <v>1</v>
      </c>
      <c r="E148" s="8">
        <v>44170</v>
      </c>
      <c r="F148">
        <v>28</v>
      </c>
    </row>
    <row r="149" spans="1:6" x14ac:dyDescent="0.25">
      <c r="A149" t="s">
        <v>49</v>
      </c>
      <c r="B149">
        <v>1</v>
      </c>
      <c r="C149" t="s">
        <v>18</v>
      </c>
      <c r="D149" t="s">
        <v>0</v>
      </c>
      <c r="E149" s="8">
        <v>44090</v>
      </c>
      <c r="F149">
        <v>57</v>
      </c>
    </row>
    <row r="150" spans="1:6" x14ac:dyDescent="0.25">
      <c r="A150" t="s">
        <v>49</v>
      </c>
      <c r="B150">
        <v>1</v>
      </c>
      <c r="C150" t="s">
        <v>18</v>
      </c>
      <c r="D150" t="s">
        <v>0</v>
      </c>
      <c r="E150" s="8">
        <v>44091</v>
      </c>
      <c r="F150">
        <v>131</v>
      </c>
    </row>
    <row r="151" spans="1:6" x14ac:dyDescent="0.25">
      <c r="A151" t="s">
        <v>49</v>
      </c>
      <c r="B151">
        <v>1</v>
      </c>
      <c r="C151" t="s">
        <v>18</v>
      </c>
      <c r="D151" t="s">
        <v>0</v>
      </c>
      <c r="E151" s="8">
        <v>44099</v>
      </c>
      <c r="F151">
        <v>51</v>
      </c>
    </row>
    <row r="152" spans="1:6" x14ac:dyDescent="0.25">
      <c r="A152" t="s">
        <v>49</v>
      </c>
      <c r="B152">
        <v>1</v>
      </c>
      <c r="C152" t="s">
        <v>18</v>
      </c>
      <c r="D152" t="s">
        <v>0</v>
      </c>
      <c r="E152" s="8">
        <v>44100</v>
      </c>
      <c r="F152">
        <v>298</v>
      </c>
    </row>
    <row r="153" spans="1:6" x14ac:dyDescent="0.25">
      <c r="A153" t="s">
        <v>49</v>
      </c>
      <c r="B153">
        <v>1</v>
      </c>
      <c r="C153" t="s">
        <v>18</v>
      </c>
      <c r="D153" t="s">
        <v>0</v>
      </c>
      <c r="E153" s="8">
        <v>44101</v>
      </c>
      <c r="F153">
        <v>75</v>
      </c>
    </row>
    <row r="154" spans="1:6" x14ac:dyDescent="0.25">
      <c r="A154" t="s">
        <v>49</v>
      </c>
      <c r="B154">
        <v>1</v>
      </c>
      <c r="C154" t="s">
        <v>18</v>
      </c>
      <c r="D154" t="s">
        <v>0</v>
      </c>
      <c r="E154" s="8">
        <v>44130</v>
      </c>
      <c r="F154">
        <v>197</v>
      </c>
    </row>
    <row r="155" spans="1:6" x14ac:dyDescent="0.25">
      <c r="A155" t="s">
        <v>49</v>
      </c>
      <c r="B155">
        <v>1</v>
      </c>
      <c r="C155" t="s">
        <v>18</v>
      </c>
      <c r="D155" t="s">
        <v>0</v>
      </c>
      <c r="E155" s="8">
        <v>44131</v>
      </c>
      <c r="F155">
        <v>186</v>
      </c>
    </row>
    <row r="156" spans="1:6" x14ac:dyDescent="0.25">
      <c r="A156" t="s">
        <v>49</v>
      </c>
      <c r="B156">
        <v>1</v>
      </c>
      <c r="C156" t="s">
        <v>18</v>
      </c>
      <c r="D156" t="s">
        <v>0</v>
      </c>
      <c r="E156" s="8">
        <v>44132</v>
      </c>
      <c r="F156">
        <v>159</v>
      </c>
    </row>
    <row r="157" spans="1:6" x14ac:dyDescent="0.25">
      <c r="A157" t="s">
        <v>49</v>
      </c>
      <c r="B157">
        <v>1</v>
      </c>
      <c r="C157" t="s">
        <v>18</v>
      </c>
      <c r="D157" t="s">
        <v>0</v>
      </c>
      <c r="E157" s="8">
        <v>44133</v>
      </c>
      <c r="F157">
        <v>1</v>
      </c>
    </row>
    <row r="158" spans="1:6" x14ac:dyDescent="0.25">
      <c r="A158" t="s">
        <v>49</v>
      </c>
      <c r="B158">
        <v>1</v>
      </c>
      <c r="C158" t="s">
        <v>18</v>
      </c>
      <c r="D158" t="s">
        <v>0</v>
      </c>
      <c r="E158" s="8">
        <v>44137</v>
      </c>
      <c r="F158">
        <v>119</v>
      </c>
    </row>
    <row r="159" spans="1:6" x14ac:dyDescent="0.25">
      <c r="A159" t="s">
        <v>49</v>
      </c>
      <c r="B159">
        <v>1</v>
      </c>
      <c r="C159" t="s">
        <v>18</v>
      </c>
      <c r="D159" t="s">
        <v>0</v>
      </c>
      <c r="E159" s="8">
        <v>44138</v>
      </c>
      <c r="F159">
        <v>92</v>
      </c>
    </row>
    <row r="160" spans="1:6" x14ac:dyDescent="0.25">
      <c r="A160" t="s">
        <v>49</v>
      </c>
      <c r="B160">
        <v>1</v>
      </c>
      <c r="C160" t="s">
        <v>18</v>
      </c>
      <c r="D160" t="s">
        <v>0</v>
      </c>
      <c r="E160" s="8">
        <v>44139</v>
      </c>
      <c r="F160">
        <v>253</v>
      </c>
    </row>
    <row r="161" spans="1:6" x14ac:dyDescent="0.25">
      <c r="A161" t="s">
        <v>49</v>
      </c>
      <c r="B161">
        <v>1</v>
      </c>
      <c r="C161" t="s">
        <v>18</v>
      </c>
      <c r="D161" t="s">
        <v>0</v>
      </c>
      <c r="E161" s="8">
        <v>44140</v>
      </c>
      <c r="F161">
        <v>202</v>
      </c>
    </row>
    <row r="162" spans="1:6" x14ac:dyDescent="0.25">
      <c r="A162" t="s">
        <v>49</v>
      </c>
      <c r="B162">
        <v>1</v>
      </c>
      <c r="C162" t="s">
        <v>18</v>
      </c>
      <c r="D162" t="s">
        <v>0</v>
      </c>
      <c r="E162" s="8">
        <v>44141</v>
      </c>
      <c r="F162">
        <v>68</v>
      </c>
    </row>
    <row r="163" spans="1:6" x14ac:dyDescent="0.25">
      <c r="A163" t="s">
        <v>49</v>
      </c>
      <c r="B163">
        <v>1</v>
      </c>
      <c r="C163" t="s">
        <v>19</v>
      </c>
      <c r="D163" t="s">
        <v>0</v>
      </c>
      <c r="E163" s="8">
        <v>44079</v>
      </c>
      <c r="F163">
        <v>100</v>
      </c>
    </row>
    <row r="164" spans="1:6" x14ac:dyDescent="0.25">
      <c r="A164" t="s">
        <v>49</v>
      </c>
      <c r="B164">
        <v>1</v>
      </c>
      <c r="C164" t="s">
        <v>19</v>
      </c>
      <c r="D164" t="s">
        <v>0</v>
      </c>
      <c r="E164" s="8">
        <v>44080</v>
      </c>
      <c r="F164">
        <v>144</v>
      </c>
    </row>
    <row r="165" spans="1:6" x14ac:dyDescent="0.25">
      <c r="A165" t="s">
        <v>49</v>
      </c>
      <c r="B165">
        <v>1</v>
      </c>
      <c r="C165" t="s">
        <v>19</v>
      </c>
      <c r="D165" t="s">
        <v>0</v>
      </c>
      <c r="E165" s="8">
        <v>44081</v>
      </c>
      <c r="F165">
        <v>145</v>
      </c>
    </row>
    <row r="166" spans="1:6" x14ac:dyDescent="0.25">
      <c r="A166" t="s">
        <v>49</v>
      </c>
      <c r="B166">
        <v>1</v>
      </c>
      <c r="C166" t="s">
        <v>19</v>
      </c>
      <c r="D166" t="s">
        <v>0</v>
      </c>
      <c r="E166" s="8">
        <v>44082</v>
      </c>
      <c r="F166">
        <v>169</v>
      </c>
    </row>
    <row r="167" spans="1:6" x14ac:dyDescent="0.25">
      <c r="A167" t="s">
        <v>49</v>
      </c>
      <c r="B167">
        <v>1</v>
      </c>
      <c r="C167" t="s">
        <v>19</v>
      </c>
      <c r="D167" t="s">
        <v>0</v>
      </c>
      <c r="E167" s="8">
        <v>44083</v>
      </c>
      <c r="F167">
        <v>170</v>
      </c>
    </row>
    <row r="168" spans="1:6" x14ac:dyDescent="0.25">
      <c r="A168" t="s">
        <v>49</v>
      </c>
      <c r="B168">
        <v>1</v>
      </c>
      <c r="C168" t="s">
        <v>19</v>
      </c>
      <c r="D168" t="s">
        <v>0</v>
      </c>
      <c r="E168" s="8">
        <v>44084</v>
      </c>
      <c r="F168">
        <v>129</v>
      </c>
    </row>
    <row r="169" spans="1:6" x14ac:dyDescent="0.25">
      <c r="A169" t="s">
        <v>49</v>
      </c>
      <c r="B169">
        <v>1</v>
      </c>
      <c r="C169" t="s">
        <v>19</v>
      </c>
      <c r="D169" t="s">
        <v>0</v>
      </c>
      <c r="E169" s="8">
        <v>44085</v>
      </c>
      <c r="F169">
        <v>130</v>
      </c>
    </row>
    <row r="170" spans="1:6" x14ac:dyDescent="0.25">
      <c r="A170" t="s">
        <v>49</v>
      </c>
      <c r="B170">
        <v>1</v>
      </c>
      <c r="C170" t="s">
        <v>19</v>
      </c>
      <c r="D170" t="s">
        <v>0</v>
      </c>
      <c r="E170" s="8">
        <v>44086</v>
      </c>
      <c r="F170">
        <v>141</v>
      </c>
    </row>
    <row r="171" spans="1:6" x14ac:dyDescent="0.25">
      <c r="A171" t="s">
        <v>49</v>
      </c>
      <c r="B171">
        <v>1</v>
      </c>
      <c r="C171" t="s">
        <v>20</v>
      </c>
      <c r="D171" t="s">
        <v>0</v>
      </c>
      <c r="E171" s="8">
        <v>44031</v>
      </c>
      <c r="F171">
        <v>37</v>
      </c>
    </row>
    <row r="172" spans="1:6" x14ac:dyDescent="0.25">
      <c r="A172" t="s">
        <v>49</v>
      </c>
      <c r="B172">
        <v>1</v>
      </c>
      <c r="C172" t="s">
        <v>20</v>
      </c>
      <c r="D172" t="s">
        <v>0</v>
      </c>
      <c r="E172" s="8">
        <v>44036</v>
      </c>
      <c r="F172">
        <v>73</v>
      </c>
    </row>
    <row r="173" spans="1:6" x14ac:dyDescent="0.25">
      <c r="A173" t="s">
        <v>49</v>
      </c>
      <c r="B173">
        <v>1</v>
      </c>
      <c r="C173" t="s">
        <v>20</v>
      </c>
      <c r="D173" t="s">
        <v>0</v>
      </c>
      <c r="E173" s="8">
        <v>44037</v>
      </c>
      <c r="F173">
        <v>152</v>
      </c>
    </row>
    <row r="174" spans="1:6" x14ac:dyDescent="0.25">
      <c r="A174" t="s">
        <v>49</v>
      </c>
      <c r="B174">
        <v>1</v>
      </c>
      <c r="C174" t="s">
        <v>20</v>
      </c>
      <c r="D174" t="s">
        <v>0</v>
      </c>
      <c r="E174" s="8">
        <v>44038</v>
      </c>
      <c r="F174">
        <v>256</v>
      </c>
    </row>
    <row r="175" spans="1:6" x14ac:dyDescent="0.25">
      <c r="A175" t="s">
        <v>49</v>
      </c>
      <c r="B175">
        <v>1</v>
      </c>
      <c r="C175" t="s">
        <v>20</v>
      </c>
      <c r="D175" t="s">
        <v>0</v>
      </c>
      <c r="E175" s="8">
        <v>44039</v>
      </c>
      <c r="F175">
        <v>14</v>
      </c>
    </row>
    <row r="176" spans="1:6" x14ac:dyDescent="0.25">
      <c r="A176" t="s">
        <v>49</v>
      </c>
      <c r="B176">
        <v>1</v>
      </c>
      <c r="C176" t="s">
        <v>20</v>
      </c>
      <c r="D176" t="s">
        <v>0</v>
      </c>
      <c r="E176" s="8">
        <v>44042</v>
      </c>
      <c r="F176">
        <v>12</v>
      </c>
    </row>
    <row r="177" spans="1:6" x14ac:dyDescent="0.25">
      <c r="A177" t="s">
        <v>49</v>
      </c>
      <c r="B177">
        <v>1</v>
      </c>
      <c r="C177" t="s">
        <v>20</v>
      </c>
      <c r="D177" t="s">
        <v>0</v>
      </c>
      <c r="E177" s="8">
        <v>44044</v>
      </c>
      <c r="F177">
        <v>144</v>
      </c>
    </row>
    <row r="178" spans="1:6" x14ac:dyDescent="0.25">
      <c r="A178" t="s">
        <v>49</v>
      </c>
      <c r="B178">
        <v>1</v>
      </c>
      <c r="C178" t="s">
        <v>20</v>
      </c>
      <c r="D178" t="s">
        <v>0</v>
      </c>
      <c r="E178" s="8">
        <v>44045</v>
      </c>
      <c r="F178">
        <v>55</v>
      </c>
    </row>
    <row r="179" spans="1:6" x14ac:dyDescent="0.25">
      <c r="A179" t="s">
        <v>49</v>
      </c>
      <c r="B179">
        <v>1</v>
      </c>
      <c r="C179" t="s">
        <v>20</v>
      </c>
      <c r="D179" t="s">
        <v>0</v>
      </c>
      <c r="E179" s="8">
        <v>44046</v>
      </c>
      <c r="F179">
        <v>172</v>
      </c>
    </row>
    <row r="180" spans="1:6" x14ac:dyDescent="0.25">
      <c r="A180" t="s">
        <v>49</v>
      </c>
      <c r="B180">
        <v>1</v>
      </c>
      <c r="C180" t="s">
        <v>20</v>
      </c>
      <c r="D180" t="s">
        <v>0</v>
      </c>
      <c r="E180" s="8">
        <v>44047</v>
      </c>
      <c r="F180">
        <v>143</v>
      </c>
    </row>
    <row r="181" spans="1:6" x14ac:dyDescent="0.25">
      <c r="A181" t="s">
        <v>49</v>
      </c>
      <c r="B181">
        <v>1</v>
      </c>
      <c r="C181" t="s">
        <v>20</v>
      </c>
      <c r="D181" t="s">
        <v>0</v>
      </c>
      <c r="E181" s="8">
        <v>44048</v>
      </c>
      <c r="F181">
        <v>131</v>
      </c>
    </row>
    <row r="182" spans="1:6" x14ac:dyDescent="0.25">
      <c r="A182" t="s">
        <v>49</v>
      </c>
      <c r="B182">
        <v>1</v>
      </c>
      <c r="C182" t="s">
        <v>20</v>
      </c>
      <c r="D182" t="s">
        <v>0</v>
      </c>
      <c r="E182" s="8">
        <v>44049</v>
      </c>
      <c r="F182">
        <v>189</v>
      </c>
    </row>
    <row r="183" spans="1:6" x14ac:dyDescent="0.25">
      <c r="A183" t="s">
        <v>49</v>
      </c>
      <c r="B183">
        <v>1</v>
      </c>
      <c r="C183" t="s">
        <v>20</v>
      </c>
      <c r="D183" t="s">
        <v>0</v>
      </c>
      <c r="E183" s="8">
        <v>44050</v>
      </c>
      <c r="F183">
        <v>181</v>
      </c>
    </row>
    <row r="184" spans="1:6" x14ac:dyDescent="0.25">
      <c r="A184" t="s">
        <v>49</v>
      </c>
      <c r="B184">
        <v>2</v>
      </c>
      <c r="C184" t="s">
        <v>22</v>
      </c>
      <c r="D184" t="s">
        <v>2</v>
      </c>
      <c r="E184" s="8">
        <v>44182</v>
      </c>
      <c r="F184">
        <v>112</v>
      </c>
    </row>
    <row r="185" spans="1:6" x14ac:dyDescent="0.25">
      <c r="A185" t="s">
        <v>49</v>
      </c>
      <c r="B185">
        <v>2</v>
      </c>
      <c r="C185" t="s">
        <v>22</v>
      </c>
      <c r="D185" t="s">
        <v>2</v>
      </c>
      <c r="E185" s="8">
        <v>44183</v>
      </c>
      <c r="F185">
        <v>111</v>
      </c>
    </row>
    <row r="186" spans="1:6" x14ac:dyDescent="0.25">
      <c r="A186" t="s">
        <v>49</v>
      </c>
      <c r="B186">
        <v>2</v>
      </c>
      <c r="C186" t="s">
        <v>22</v>
      </c>
      <c r="D186" t="s">
        <v>2</v>
      </c>
      <c r="E186" s="8">
        <v>44184</v>
      </c>
      <c r="F186">
        <v>71</v>
      </c>
    </row>
    <row r="187" spans="1:6" x14ac:dyDescent="0.25">
      <c r="A187" t="s">
        <v>49</v>
      </c>
      <c r="B187">
        <v>2</v>
      </c>
      <c r="C187" t="s">
        <v>22</v>
      </c>
      <c r="D187" t="s">
        <v>2</v>
      </c>
      <c r="E187" s="8">
        <v>44185</v>
      </c>
      <c r="F187">
        <v>154</v>
      </c>
    </row>
    <row r="188" spans="1:6" x14ac:dyDescent="0.25">
      <c r="A188" t="s">
        <v>49</v>
      </c>
      <c r="B188">
        <v>2</v>
      </c>
      <c r="C188" t="s">
        <v>22</v>
      </c>
      <c r="D188" t="s">
        <v>2</v>
      </c>
      <c r="E188" s="8">
        <v>44186</v>
      </c>
      <c r="F188">
        <v>55</v>
      </c>
    </row>
    <row r="189" spans="1:6" x14ac:dyDescent="0.25">
      <c r="A189" t="s">
        <v>49</v>
      </c>
      <c r="B189">
        <v>2</v>
      </c>
      <c r="C189" t="s">
        <v>23</v>
      </c>
      <c r="D189" t="s">
        <v>2</v>
      </c>
      <c r="E189" s="8">
        <v>44017</v>
      </c>
      <c r="F189">
        <v>119</v>
      </c>
    </row>
    <row r="190" spans="1:6" x14ac:dyDescent="0.25">
      <c r="A190" t="s">
        <v>49</v>
      </c>
      <c r="B190">
        <v>2</v>
      </c>
      <c r="C190" t="s">
        <v>23</v>
      </c>
      <c r="D190" t="s">
        <v>2</v>
      </c>
      <c r="E190" s="8">
        <v>44018</v>
      </c>
      <c r="F190">
        <v>92</v>
      </c>
    </row>
    <row r="191" spans="1:6" x14ac:dyDescent="0.25">
      <c r="A191" t="s">
        <v>49</v>
      </c>
      <c r="B191">
        <v>2</v>
      </c>
      <c r="C191" t="s">
        <v>23</v>
      </c>
      <c r="D191" t="s">
        <v>2</v>
      </c>
      <c r="E191" s="8">
        <v>44019</v>
      </c>
      <c r="F191">
        <v>81</v>
      </c>
    </row>
    <row r="192" spans="1:6" x14ac:dyDescent="0.25">
      <c r="A192" t="s">
        <v>49</v>
      </c>
      <c r="B192">
        <v>2</v>
      </c>
      <c r="C192" t="s">
        <v>23</v>
      </c>
      <c r="D192" t="s">
        <v>2</v>
      </c>
      <c r="E192" s="8">
        <v>44020</v>
      </c>
      <c r="F192">
        <v>0</v>
      </c>
    </row>
    <row r="193" spans="1:6" x14ac:dyDescent="0.25">
      <c r="A193" t="s">
        <v>49</v>
      </c>
      <c r="B193">
        <v>2</v>
      </c>
      <c r="C193" t="s">
        <v>23</v>
      </c>
      <c r="D193" t="s">
        <v>2</v>
      </c>
      <c r="E193" s="8">
        <v>44021</v>
      </c>
      <c r="F193">
        <v>100</v>
      </c>
    </row>
    <row r="194" spans="1:6" x14ac:dyDescent="0.25">
      <c r="A194" t="s">
        <v>49</v>
      </c>
      <c r="B194">
        <v>2</v>
      </c>
      <c r="C194" t="s">
        <v>23</v>
      </c>
      <c r="D194" t="s">
        <v>2</v>
      </c>
      <c r="E194" s="8">
        <v>44022</v>
      </c>
      <c r="F194">
        <v>113</v>
      </c>
    </row>
    <row r="195" spans="1:6" x14ac:dyDescent="0.25">
      <c r="A195" t="s">
        <v>49</v>
      </c>
      <c r="B195">
        <v>2</v>
      </c>
      <c r="C195" t="s">
        <v>23</v>
      </c>
      <c r="D195" t="s">
        <v>2</v>
      </c>
      <c r="E195" s="8">
        <v>44023</v>
      </c>
      <c r="F195">
        <v>105</v>
      </c>
    </row>
    <row r="196" spans="1:6" x14ac:dyDescent="0.25">
      <c r="A196" t="s">
        <v>49</v>
      </c>
      <c r="B196">
        <v>2</v>
      </c>
      <c r="C196" t="s">
        <v>23</v>
      </c>
      <c r="D196" t="s">
        <v>2</v>
      </c>
      <c r="E196" s="8">
        <v>44024</v>
      </c>
      <c r="F196">
        <v>67</v>
      </c>
    </row>
    <row r="197" spans="1:6" x14ac:dyDescent="0.25">
      <c r="A197" t="s">
        <v>49</v>
      </c>
      <c r="B197">
        <v>2</v>
      </c>
      <c r="C197" t="s">
        <v>23</v>
      </c>
      <c r="D197" t="s">
        <v>2</v>
      </c>
      <c r="E197" s="8">
        <v>44025</v>
      </c>
      <c r="F197">
        <v>187</v>
      </c>
    </row>
    <row r="198" spans="1:6" x14ac:dyDescent="0.25">
      <c r="A198" t="s">
        <v>49</v>
      </c>
      <c r="B198">
        <v>2</v>
      </c>
      <c r="C198" t="s">
        <v>23</v>
      </c>
      <c r="D198" t="s">
        <v>2</v>
      </c>
      <c r="E198" s="8">
        <v>44026</v>
      </c>
      <c r="F198">
        <v>4</v>
      </c>
    </row>
    <row r="199" spans="1:6" x14ac:dyDescent="0.25">
      <c r="A199" t="s">
        <v>49</v>
      </c>
      <c r="B199">
        <v>2</v>
      </c>
      <c r="C199" t="s">
        <v>23</v>
      </c>
      <c r="D199" t="s">
        <v>2</v>
      </c>
      <c r="E199" s="8">
        <v>44029</v>
      </c>
      <c r="F199">
        <v>89</v>
      </c>
    </row>
    <row r="200" spans="1:6" x14ac:dyDescent="0.25">
      <c r="A200" t="s">
        <v>49</v>
      </c>
      <c r="B200">
        <v>2</v>
      </c>
      <c r="C200" t="s">
        <v>23</v>
      </c>
      <c r="D200" t="s">
        <v>2</v>
      </c>
      <c r="E200" s="8">
        <v>44030</v>
      </c>
      <c r="F200">
        <v>29</v>
      </c>
    </row>
    <row r="201" spans="1:6" x14ac:dyDescent="0.25">
      <c r="A201" t="s">
        <v>49</v>
      </c>
      <c r="B201">
        <v>2</v>
      </c>
      <c r="C201" t="s">
        <v>23</v>
      </c>
      <c r="D201" t="s">
        <v>2</v>
      </c>
      <c r="E201" s="8">
        <v>44031</v>
      </c>
      <c r="F201">
        <v>51</v>
      </c>
    </row>
    <row r="202" spans="1:6" x14ac:dyDescent="0.25">
      <c r="A202" t="s">
        <v>49</v>
      </c>
      <c r="B202">
        <v>2</v>
      </c>
      <c r="C202" t="s">
        <v>23</v>
      </c>
      <c r="D202" t="s">
        <v>2</v>
      </c>
      <c r="E202" s="8">
        <v>44032</v>
      </c>
      <c r="F202">
        <v>264</v>
      </c>
    </row>
    <row r="203" spans="1:6" x14ac:dyDescent="0.25">
      <c r="A203" t="s">
        <v>49</v>
      </c>
      <c r="B203">
        <v>2</v>
      </c>
      <c r="C203" t="s">
        <v>23</v>
      </c>
      <c r="D203" t="s">
        <v>2</v>
      </c>
      <c r="E203" s="8">
        <v>44033</v>
      </c>
      <c r="F203">
        <v>211</v>
      </c>
    </row>
    <row r="204" spans="1:6" x14ac:dyDescent="0.25">
      <c r="A204" t="s">
        <v>49</v>
      </c>
      <c r="B204">
        <v>2</v>
      </c>
      <c r="C204" t="s">
        <v>23</v>
      </c>
      <c r="D204" t="s">
        <v>2</v>
      </c>
      <c r="E204" s="8">
        <v>44034</v>
      </c>
      <c r="F204">
        <v>55</v>
      </c>
    </row>
    <row r="205" spans="1:6" x14ac:dyDescent="0.25">
      <c r="A205" t="s">
        <v>49</v>
      </c>
      <c r="B205">
        <v>2</v>
      </c>
      <c r="C205" t="s">
        <v>23</v>
      </c>
      <c r="D205" t="s">
        <v>2</v>
      </c>
      <c r="E205" s="8">
        <v>44036</v>
      </c>
      <c r="F205">
        <v>181</v>
      </c>
    </row>
    <row r="206" spans="1:6" x14ac:dyDescent="0.25">
      <c r="A206" t="s">
        <v>49</v>
      </c>
      <c r="B206">
        <v>2</v>
      </c>
      <c r="C206" t="s">
        <v>23</v>
      </c>
      <c r="D206" t="s">
        <v>2</v>
      </c>
      <c r="E206" s="8">
        <v>44037</v>
      </c>
      <c r="F206">
        <v>71</v>
      </c>
    </row>
    <row r="207" spans="1:6" x14ac:dyDescent="0.25">
      <c r="A207" t="s">
        <v>49</v>
      </c>
      <c r="B207">
        <v>2</v>
      </c>
      <c r="C207" t="s">
        <v>23</v>
      </c>
      <c r="D207" t="s">
        <v>2</v>
      </c>
      <c r="E207" s="8">
        <v>44038</v>
      </c>
      <c r="F207">
        <v>0</v>
      </c>
    </row>
    <row r="208" spans="1:6" x14ac:dyDescent="0.25">
      <c r="A208" t="s">
        <v>49</v>
      </c>
      <c r="B208">
        <v>2</v>
      </c>
      <c r="C208" t="s">
        <v>23</v>
      </c>
      <c r="D208" t="s">
        <v>2</v>
      </c>
      <c r="E208" s="8">
        <v>44039</v>
      </c>
      <c r="F208">
        <v>129</v>
      </c>
    </row>
    <row r="209" spans="1:6" x14ac:dyDescent="0.25">
      <c r="A209" t="s">
        <v>49</v>
      </c>
      <c r="B209">
        <v>2</v>
      </c>
      <c r="C209" t="s">
        <v>23</v>
      </c>
      <c r="D209" t="s">
        <v>2</v>
      </c>
      <c r="E209" s="8">
        <v>44040</v>
      </c>
      <c r="F209">
        <v>14</v>
      </c>
    </row>
    <row r="210" spans="1:6" x14ac:dyDescent="0.25">
      <c r="A210" t="s">
        <v>49</v>
      </c>
      <c r="B210">
        <v>2</v>
      </c>
      <c r="C210" t="s">
        <v>23</v>
      </c>
      <c r="D210" t="s">
        <v>2</v>
      </c>
      <c r="E210" s="8">
        <v>44041</v>
      </c>
      <c r="F210">
        <v>112</v>
      </c>
    </row>
    <row r="211" spans="1:6" x14ac:dyDescent="0.25">
      <c r="A211" t="s">
        <v>49</v>
      </c>
      <c r="B211">
        <v>2</v>
      </c>
      <c r="C211" t="s">
        <v>23</v>
      </c>
      <c r="D211" t="s">
        <v>2</v>
      </c>
      <c r="E211" s="8">
        <v>44044</v>
      </c>
      <c r="F211">
        <v>81</v>
      </c>
    </row>
    <row r="212" spans="1:6" x14ac:dyDescent="0.25">
      <c r="A212" t="s">
        <v>49</v>
      </c>
      <c r="B212">
        <v>2</v>
      </c>
      <c r="C212" t="s">
        <v>23</v>
      </c>
      <c r="D212" t="s">
        <v>2</v>
      </c>
      <c r="E212" s="8">
        <v>44045</v>
      </c>
      <c r="F212">
        <v>134</v>
      </c>
    </row>
    <row r="213" spans="1:6" x14ac:dyDescent="0.25">
      <c r="A213" t="s">
        <v>49</v>
      </c>
      <c r="B213">
        <v>2</v>
      </c>
      <c r="C213" t="s">
        <v>23</v>
      </c>
      <c r="D213" t="s">
        <v>2</v>
      </c>
      <c r="E213" s="8">
        <v>44081</v>
      </c>
      <c r="F213">
        <v>0</v>
      </c>
    </row>
    <row r="214" spans="1:6" x14ac:dyDescent="0.25">
      <c r="A214" t="s">
        <v>49</v>
      </c>
      <c r="B214">
        <v>2</v>
      </c>
      <c r="C214" t="s">
        <v>23</v>
      </c>
      <c r="D214" t="s">
        <v>2</v>
      </c>
      <c r="E214" s="8">
        <v>44082</v>
      </c>
      <c r="F214">
        <v>0</v>
      </c>
    </row>
    <row r="215" spans="1:6" x14ac:dyDescent="0.25">
      <c r="A215" t="s">
        <v>49</v>
      </c>
      <c r="B215">
        <v>2</v>
      </c>
      <c r="C215" t="s">
        <v>23</v>
      </c>
      <c r="D215" t="s">
        <v>2</v>
      </c>
      <c r="E215" s="8">
        <v>44083</v>
      </c>
      <c r="F215">
        <v>39</v>
      </c>
    </row>
    <row r="216" spans="1:6" x14ac:dyDescent="0.25">
      <c r="A216" t="s">
        <v>49</v>
      </c>
      <c r="B216">
        <v>2</v>
      </c>
      <c r="C216" t="s">
        <v>23</v>
      </c>
      <c r="D216" t="s">
        <v>2</v>
      </c>
      <c r="E216" s="8">
        <v>44084</v>
      </c>
      <c r="F216">
        <v>94</v>
      </c>
    </row>
    <row r="217" spans="1:6" x14ac:dyDescent="0.25">
      <c r="A217" t="s">
        <v>49</v>
      </c>
      <c r="B217">
        <v>2</v>
      </c>
      <c r="C217" t="s">
        <v>23</v>
      </c>
      <c r="D217" t="s">
        <v>2</v>
      </c>
      <c r="E217" s="8">
        <v>44094</v>
      </c>
      <c r="F217">
        <v>147</v>
      </c>
    </row>
    <row r="218" spans="1:6" x14ac:dyDescent="0.25">
      <c r="A218" t="s">
        <v>49</v>
      </c>
      <c r="B218">
        <v>2</v>
      </c>
      <c r="C218" t="s">
        <v>23</v>
      </c>
      <c r="D218" t="s">
        <v>2</v>
      </c>
      <c r="E218" s="8">
        <v>44096</v>
      </c>
      <c r="F218">
        <v>38</v>
      </c>
    </row>
    <row r="219" spans="1:6" x14ac:dyDescent="0.25">
      <c r="A219" t="s">
        <v>49</v>
      </c>
      <c r="B219">
        <v>2</v>
      </c>
      <c r="C219" t="s">
        <v>23</v>
      </c>
      <c r="D219" t="s">
        <v>2</v>
      </c>
      <c r="E219" s="8">
        <v>44097</v>
      </c>
      <c r="F219">
        <v>39</v>
      </c>
    </row>
    <row r="220" spans="1:6" x14ac:dyDescent="0.25">
      <c r="A220" t="s">
        <v>49</v>
      </c>
      <c r="B220">
        <v>2</v>
      </c>
      <c r="C220" t="s">
        <v>23</v>
      </c>
      <c r="D220" t="s">
        <v>2</v>
      </c>
      <c r="E220" s="8">
        <v>44098</v>
      </c>
      <c r="F220">
        <v>12</v>
      </c>
    </row>
    <row r="221" spans="1:6" x14ac:dyDescent="0.25">
      <c r="A221" t="s">
        <v>49</v>
      </c>
      <c r="B221">
        <v>2</v>
      </c>
      <c r="C221" t="s">
        <v>23</v>
      </c>
      <c r="D221" t="s">
        <v>2</v>
      </c>
      <c r="E221" s="8">
        <v>44100</v>
      </c>
      <c r="F221">
        <v>118</v>
      </c>
    </row>
    <row r="222" spans="1:6" x14ac:dyDescent="0.25">
      <c r="A222" t="s">
        <v>49</v>
      </c>
      <c r="B222">
        <v>2</v>
      </c>
      <c r="C222" t="s">
        <v>23</v>
      </c>
      <c r="D222" t="s">
        <v>2</v>
      </c>
      <c r="E222" s="8">
        <v>44101</v>
      </c>
      <c r="F222">
        <v>207</v>
      </c>
    </row>
    <row r="223" spans="1:6" x14ac:dyDescent="0.25">
      <c r="A223" t="s">
        <v>49</v>
      </c>
      <c r="B223">
        <v>2</v>
      </c>
      <c r="C223" t="s">
        <v>23</v>
      </c>
      <c r="D223" t="s">
        <v>2</v>
      </c>
      <c r="E223" s="8">
        <v>44103</v>
      </c>
      <c r="F223">
        <v>95</v>
      </c>
    </row>
    <row r="224" spans="1:6" x14ac:dyDescent="0.25">
      <c r="A224" t="s">
        <v>49</v>
      </c>
      <c r="B224">
        <v>2</v>
      </c>
      <c r="C224" t="s">
        <v>23</v>
      </c>
      <c r="D224" t="s">
        <v>2</v>
      </c>
      <c r="E224" s="8">
        <v>44104</v>
      </c>
      <c r="F224">
        <v>144</v>
      </c>
    </row>
    <row r="225" spans="1:6" x14ac:dyDescent="0.25">
      <c r="A225" t="s">
        <v>49</v>
      </c>
      <c r="B225">
        <v>2</v>
      </c>
      <c r="C225" t="s">
        <v>23</v>
      </c>
      <c r="D225" t="s">
        <v>2</v>
      </c>
      <c r="E225" s="8">
        <v>44105</v>
      </c>
      <c r="F225">
        <v>272</v>
      </c>
    </row>
    <row r="226" spans="1:6" x14ac:dyDescent="0.25">
      <c r="A226" t="s">
        <v>49</v>
      </c>
      <c r="B226">
        <v>2</v>
      </c>
      <c r="C226" t="s">
        <v>23</v>
      </c>
      <c r="D226" t="s">
        <v>2</v>
      </c>
      <c r="E226" s="8">
        <v>44106</v>
      </c>
      <c r="F226">
        <v>248</v>
      </c>
    </row>
    <row r="227" spans="1:6" x14ac:dyDescent="0.25">
      <c r="A227" t="s">
        <v>49</v>
      </c>
      <c r="B227">
        <v>2</v>
      </c>
      <c r="C227" t="s">
        <v>23</v>
      </c>
      <c r="D227" t="s">
        <v>2</v>
      </c>
      <c r="E227" s="8">
        <v>44107</v>
      </c>
      <c r="F227">
        <v>140</v>
      </c>
    </row>
    <row r="228" spans="1:6" x14ac:dyDescent="0.25">
      <c r="A228" t="s">
        <v>49</v>
      </c>
      <c r="B228">
        <v>2</v>
      </c>
      <c r="C228" t="s">
        <v>23</v>
      </c>
      <c r="D228" t="s">
        <v>2</v>
      </c>
      <c r="E228" s="8">
        <v>44109</v>
      </c>
      <c r="F228">
        <v>26</v>
      </c>
    </row>
    <row r="229" spans="1:6" x14ac:dyDescent="0.25">
      <c r="A229" t="s">
        <v>49</v>
      </c>
      <c r="B229">
        <v>2</v>
      </c>
      <c r="C229" t="s">
        <v>23</v>
      </c>
      <c r="D229" t="s">
        <v>2</v>
      </c>
      <c r="E229" s="8">
        <v>44110</v>
      </c>
      <c r="F229">
        <v>68</v>
      </c>
    </row>
    <row r="230" spans="1:6" x14ac:dyDescent="0.25">
      <c r="A230" t="s">
        <v>49</v>
      </c>
      <c r="B230">
        <v>2</v>
      </c>
      <c r="C230" t="s">
        <v>23</v>
      </c>
      <c r="D230" t="s">
        <v>2</v>
      </c>
      <c r="E230" s="8">
        <v>44112</v>
      </c>
      <c r="F230">
        <v>72</v>
      </c>
    </row>
    <row r="231" spans="1:6" x14ac:dyDescent="0.25">
      <c r="A231" t="s">
        <v>49</v>
      </c>
      <c r="B231">
        <v>2</v>
      </c>
      <c r="C231" t="s">
        <v>23</v>
      </c>
      <c r="D231" t="s">
        <v>2</v>
      </c>
      <c r="E231" s="8">
        <v>44113</v>
      </c>
      <c r="F231">
        <v>1</v>
      </c>
    </row>
    <row r="232" spans="1:6" x14ac:dyDescent="0.25">
      <c r="A232" t="s">
        <v>49</v>
      </c>
      <c r="B232">
        <v>2</v>
      </c>
      <c r="C232" t="s">
        <v>23</v>
      </c>
      <c r="D232" t="s">
        <v>2</v>
      </c>
      <c r="E232" s="8">
        <v>44114</v>
      </c>
      <c r="F232">
        <v>121</v>
      </c>
    </row>
    <row r="233" spans="1:6" x14ac:dyDescent="0.25">
      <c r="A233" t="s">
        <v>49</v>
      </c>
      <c r="B233">
        <v>2</v>
      </c>
      <c r="C233" t="s">
        <v>23</v>
      </c>
      <c r="D233" t="s">
        <v>2</v>
      </c>
      <c r="E233" s="8">
        <v>44115</v>
      </c>
      <c r="F233">
        <v>0</v>
      </c>
    </row>
    <row r="234" spans="1:6" x14ac:dyDescent="0.25">
      <c r="A234" t="s">
        <v>49</v>
      </c>
      <c r="B234">
        <v>2</v>
      </c>
      <c r="C234" t="s">
        <v>23</v>
      </c>
      <c r="D234" t="s">
        <v>2</v>
      </c>
      <c r="E234" s="8">
        <v>44116</v>
      </c>
      <c r="F234">
        <v>189</v>
      </c>
    </row>
    <row r="235" spans="1:6" x14ac:dyDescent="0.25">
      <c r="A235" t="s">
        <v>49</v>
      </c>
      <c r="B235">
        <v>2</v>
      </c>
      <c r="C235" t="s">
        <v>23</v>
      </c>
      <c r="D235" t="s">
        <v>2</v>
      </c>
      <c r="E235" s="8">
        <v>44117</v>
      </c>
      <c r="F235">
        <v>68</v>
      </c>
    </row>
    <row r="236" spans="1:6" x14ac:dyDescent="0.25">
      <c r="A236" t="s">
        <v>49</v>
      </c>
      <c r="B236">
        <v>2</v>
      </c>
      <c r="C236" t="s">
        <v>23</v>
      </c>
      <c r="D236" t="s">
        <v>2</v>
      </c>
      <c r="E236" s="8">
        <v>44118</v>
      </c>
      <c r="F236">
        <v>157</v>
      </c>
    </row>
    <row r="237" spans="1:6" x14ac:dyDescent="0.25">
      <c r="A237" t="s">
        <v>49</v>
      </c>
      <c r="B237">
        <v>2</v>
      </c>
      <c r="C237" t="s">
        <v>23</v>
      </c>
      <c r="D237" t="s">
        <v>2</v>
      </c>
      <c r="E237" s="8">
        <v>44122</v>
      </c>
      <c r="F237">
        <v>166</v>
      </c>
    </row>
    <row r="238" spans="1:6" x14ac:dyDescent="0.25">
      <c r="A238" t="s">
        <v>49</v>
      </c>
      <c r="B238">
        <v>2</v>
      </c>
      <c r="C238" t="s">
        <v>23</v>
      </c>
      <c r="D238" t="s">
        <v>2</v>
      </c>
      <c r="E238" s="8">
        <v>44123</v>
      </c>
      <c r="F238">
        <v>190</v>
      </c>
    </row>
    <row r="239" spans="1:6" x14ac:dyDescent="0.25">
      <c r="A239" t="s">
        <v>49</v>
      </c>
      <c r="B239">
        <v>2</v>
      </c>
      <c r="C239" t="s">
        <v>23</v>
      </c>
      <c r="D239" t="s">
        <v>2</v>
      </c>
      <c r="E239" s="8">
        <v>44124</v>
      </c>
      <c r="F239">
        <v>27</v>
      </c>
    </row>
    <row r="240" spans="1:6" x14ac:dyDescent="0.25">
      <c r="A240" t="s">
        <v>49</v>
      </c>
      <c r="B240">
        <v>2</v>
      </c>
      <c r="C240" t="s">
        <v>23</v>
      </c>
      <c r="D240" t="s">
        <v>2</v>
      </c>
      <c r="E240" s="8">
        <v>44125</v>
      </c>
      <c r="F240">
        <v>72</v>
      </c>
    </row>
    <row r="241" spans="1:6" x14ac:dyDescent="0.25">
      <c r="A241" t="s">
        <v>49</v>
      </c>
      <c r="B241">
        <v>2</v>
      </c>
      <c r="C241" t="s">
        <v>23</v>
      </c>
      <c r="D241" t="s">
        <v>2</v>
      </c>
      <c r="E241" s="8">
        <v>44127</v>
      </c>
      <c r="F241">
        <v>87</v>
      </c>
    </row>
    <row r="242" spans="1:6" x14ac:dyDescent="0.25">
      <c r="A242" t="s">
        <v>49</v>
      </c>
      <c r="B242">
        <v>2</v>
      </c>
      <c r="C242" t="s">
        <v>23</v>
      </c>
      <c r="D242" t="s">
        <v>2</v>
      </c>
      <c r="E242" s="8">
        <v>44128</v>
      </c>
      <c r="F242">
        <v>197</v>
      </c>
    </row>
    <row r="243" spans="1:6" x14ac:dyDescent="0.25">
      <c r="A243" t="s">
        <v>49</v>
      </c>
      <c r="B243">
        <v>2</v>
      </c>
      <c r="C243" t="s">
        <v>23</v>
      </c>
      <c r="D243" t="s">
        <v>2</v>
      </c>
      <c r="E243" s="8">
        <v>44129</v>
      </c>
      <c r="F243">
        <v>61</v>
      </c>
    </row>
    <row r="244" spans="1:6" x14ac:dyDescent="0.25">
      <c r="A244" t="s">
        <v>49</v>
      </c>
      <c r="B244">
        <v>2</v>
      </c>
      <c r="C244" t="s">
        <v>24</v>
      </c>
      <c r="D244" t="s">
        <v>3</v>
      </c>
      <c r="E244" s="8">
        <v>44077</v>
      </c>
      <c r="F244">
        <v>20</v>
      </c>
    </row>
    <row r="245" spans="1:6" x14ac:dyDescent="0.25">
      <c r="A245" t="s">
        <v>49</v>
      </c>
      <c r="B245">
        <v>2</v>
      </c>
      <c r="C245" t="s">
        <v>24</v>
      </c>
      <c r="D245" t="s">
        <v>3</v>
      </c>
      <c r="E245" s="8">
        <v>44080</v>
      </c>
      <c r="F245">
        <v>40</v>
      </c>
    </row>
    <row r="246" spans="1:6" x14ac:dyDescent="0.25">
      <c r="A246" t="s">
        <v>49</v>
      </c>
      <c r="B246">
        <v>2</v>
      </c>
      <c r="C246" t="s">
        <v>24</v>
      </c>
      <c r="D246" t="s">
        <v>3</v>
      </c>
      <c r="E246" s="8">
        <v>44081</v>
      </c>
      <c r="F246">
        <v>109</v>
      </c>
    </row>
    <row r="247" spans="1:6" x14ac:dyDescent="0.25">
      <c r="A247" t="s">
        <v>49</v>
      </c>
      <c r="B247">
        <v>2</v>
      </c>
      <c r="C247" t="s">
        <v>24</v>
      </c>
      <c r="D247" t="s">
        <v>3</v>
      </c>
      <c r="E247" s="8">
        <v>44082</v>
      </c>
      <c r="F247">
        <v>35</v>
      </c>
    </row>
    <row r="248" spans="1:6" x14ac:dyDescent="0.25">
      <c r="A248" t="s">
        <v>49</v>
      </c>
      <c r="B248">
        <v>2</v>
      </c>
      <c r="C248" t="s">
        <v>24</v>
      </c>
      <c r="D248" t="s">
        <v>3</v>
      </c>
      <c r="E248" s="8">
        <v>44083</v>
      </c>
      <c r="F248">
        <v>73</v>
      </c>
    </row>
    <row r="249" spans="1:6" x14ac:dyDescent="0.25">
      <c r="A249" t="s">
        <v>49</v>
      </c>
      <c r="B249">
        <v>2</v>
      </c>
      <c r="C249" t="s">
        <v>24</v>
      </c>
      <c r="D249" t="s">
        <v>3</v>
      </c>
      <c r="E249" s="8">
        <v>44084</v>
      </c>
      <c r="F249">
        <v>26</v>
      </c>
    </row>
    <row r="250" spans="1:6" x14ac:dyDescent="0.25">
      <c r="A250" t="s">
        <v>49</v>
      </c>
      <c r="B250">
        <v>2</v>
      </c>
      <c r="C250" t="s">
        <v>24</v>
      </c>
      <c r="D250" t="s">
        <v>3</v>
      </c>
      <c r="E250" s="8">
        <v>44085</v>
      </c>
      <c r="F250">
        <v>16</v>
      </c>
    </row>
    <row r="251" spans="1:6" x14ac:dyDescent="0.25">
      <c r="A251" t="s">
        <v>49</v>
      </c>
      <c r="B251">
        <v>2</v>
      </c>
      <c r="C251" t="s">
        <v>24</v>
      </c>
      <c r="D251" t="s">
        <v>3</v>
      </c>
      <c r="E251" s="8">
        <v>44086</v>
      </c>
      <c r="F251">
        <v>63</v>
      </c>
    </row>
    <row r="252" spans="1:6" x14ac:dyDescent="0.25">
      <c r="A252" t="s">
        <v>49</v>
      </c>
      <c r="B252">
        <v>2</v>
      </c>
      <c r="C252" t="s">
        <v>24</v>
      </c>
      <c r="D252" t="s">
        <v>3</v>
      </c>
      <c r="E252" s="8">
        <v>44087</v>
      </c>
      <c r="F252">
        <v>67</v>
      </c>
    </row>
    <row r="253" spans="1:6" x14ac:dyDescent="0.25">
      <c r="A253" t="s">
        <v>49</v>
      </c>
      <c r="B253">
        <v>2</v>
      </c>
      <c r="C253" t="s">
        <v>24</v>
      </c>
      <c r="D253" t="s">
        <v>3</v>
      </c>
      <c r="E253" s="8">
        <v>44088</v>
      </c>
      <c r="F253">
        <v>36</v>
      </c>
    </row>
    <row r="254" spans="1:6" x14ac:dyDescent="0.25">
      <c r="A254" t="s">
        <v>49</v>
      </c>
      <c r="B254">
        <v>2</v>
      </c>
      <c r="C254" t="s">
        <v>24</v>
      </c>
      <c r="D254" t="s">
        <v>3</v>
      </c>
      <c r="E254" s="8">
        <v>44099</v>
      </c>
      <c r="F254">
        <v>46</v>
      </c>
    </row>
    <row r="255" spans="1:6" x14ac:dyDescent="0.25">
      <c r="A255" t="s">
        <v>49</v>
      </c>
      <c r="B255">
        <v>2</v>
      </c>
      <c r="C255" t="s">
        <v>24</v>
      </c>
      <c r="D255" t="s">
        <v>3</v>
      </c>
      <c r="E255" s="8">
        <v>44100</v>
      </c>
      <c r="F255">
        <v>0</v>
      </c>
    </row>
    <row r="256" spans="1:6" x14ac:dyDescent="0.25">
      <c r="A256" t="s">
        <v>49</v>
      </c>
      <c r="B256">
        <v>2</v>
      </c>
      <c r="C256" t="s">
        <v>24</v>
      </c>
      <c r="D256" t="s">
        <v>3</v>
      </c>
      <c r="E256" s="8">
        <v>44145</v>
      </c>
      <c r="F256">
        <v>38</v>
      </c>
    </row>
    <row r="257" spans="1:6" x14ac:dyDescent="0.25">
      <c r="A257" t="s">
        <v>49</v>
      </c>
      <c r="B257">
        <v>2</v>
      </c>
      <c r="C257" t="s">
        <v>24</v>
      </c>
      <c r="D257" t="s">
        <v>3</v>
      </c>
      <c r="E257" s="8">
        <v>44147</v>
      </c>
      <c r="F257">
        <v>54</v>
      </c>
    </row>
    <row r="258" spans="1:6" x14ac:dyDescent="0.25">
      <c r="A258" t="s">
        <v>49</v>
      </c>
      <c r="B258">
        <v>2</v>
      </c>
      <c r="C258" t="s">
        <v>24</v>
      </c>
      <c r="D258" t="s">
        <v>3</v>
      </c>
      <c r="E258" s="8">
        <v>44148</v>
      </c>
      <c r="F258">
        <v>59</v>
      </c>
    </row>
    <row r="259" spans="1:6" x14ac:dyDescent="0.25">
      <c r="A259" t="s">
        <v>49</v>
      </c>
      <c r="B259">
        <v>2</v>
      </c>
      <c r="C259" t="s">
        <v>24</v>
      </c>
      <c r="D259" t="s">
        <v>3</v>
      </c>
      <c r="E259" s="8">
        <v>44149</v>
      </c>
      <c r="F259">
        <v>51</v>
      </c>
    </row>
    <row r="260" spans="1:6" x14ac:dyDescent="0.25">
      <c r="A260" t="s">
        <v>49</v>
      </c>
      <c r="B260">
        <v>2</v>
      </c>
      <c r="C260" t="s">
        <v>24</v>
      </c>
      <c r="D260" t="s">
        <v>3</v>
      </c>
      <c r="E260" s="8">
        <v>44150</v>
      </c>
      <c r="F260">
        <v>75</v>
      </c>
    </row>
    <row r="261" spans="1:6" x14ac:dyDescent="0.25">
      <c r="A261" t="s">
        <v>49</v>
      </c>
      <c r="B261">
        <v>2</v>
      </c>
      <c r="C261" t="s">
        <v>24</v>
      </c>
      <c r="D261" t="s">
        <v>3</v>
      </c>
      <c r="E261" s="8">
        <v>44204</v>
      </c>
      <c r="F261">
        <v>57</v>
      </c>
    </row>
    <row r="262" spans="1:6" x14ac:dyDescent="0.25">
      <c r="A262" t="s">
        <v>49</v>
      </c>
      <c r="B262">
        <v>2</v>
      </c>
      <c r="C262" t="s">
        <v>25</v>
      </c>
      <c r="D262" t="s">
        <v>3</v>
      </c>
      <c r="E262" s="8">
        <v>44124</v>
      </c>
      <c r="F262">
        <v>53</v>
      </c>
    </row>
    <row r="263" spans="1:6" x14ac:dyDescent="0.25">
      <c r="A263" t="s">
        <v>49</v>
      </c>
      <c r="B263">
        <v>2</v>
      </c>
      <c r="C263" t="s">
        <v>25</v>
      </c>
      <c r="D263" t="s">
        <v>3</v>
      </c>
      <c r="E263" s="8">
        <v>44126</v>
      </c>
      <c r="F263">
        <v>130</v>
      </c>
    </row>
    <row r="264" spans="1:6" x14ac:dyDescent="0.25">
      <c r="A264" t="s">
        <v>49</v>
      </c>
      <c r="B264">
        <v>2</v>
      </c>
      <c r="C264" t="s">
        <v>25</v>
      </c>
      <c r="D264" t="s">
        <v>3</v>
      </c>
      <c r="E264" s="8">
        <v>44127</v>
      </c>
      <c r="F264">
        <v>18</v>
      </c>
    </row>
    <row r="265" spans="1:6" x14ac:dyDescent="0.25">
      <c r="A265" t="s">
        <v>49</v>
      </c>
      <c r="B265">
        <v>2</v>
      </c>
      <c r="C265" t="s">
        <v>25</v>
      </c>
      <c r="D265" t="s">
        <v>3</v>
      </c>
      <c r="E265" s="8">
        <v>44128</v>
      </c>
      <c r="F265">
        <v>64</v>
      </c>
    </row>
    <row r="266" spans="1:6" x14ac:dyDescent="0.25">
      <c r="A266" t="s">
        <v>49</v>
      </c>
      <c r="B266">
        <v>2</v>
      </c>
      <c r="C266" t="s">
        <v>25</v>
      </c>
      <c r="D266" t="s">
        <v>3</v>
      </c>
      <c r="E266" s="8">
        <v>44129</v>
      </c>
      <c r="F266">
        <v>33</v>
      </c>
    </row>
    <row r="267" spans="1:6" x14ac:dyDescent="0.25">
      <c r="A267" t="s">
        <v>49</v>
      </c>
      <c r="B267">
        <v>2</v>
      </c>
      <c r="C267" t="s">
        <v>25</v>
      </c>
      <c r="D267" t="s">
        <v>3</v>
      </c>
      <c r="E267" s="8">
        <v>44131</v>
      </c>
      <c r="F267">
        <v>7</v>
      </c>
    </row>
    <row r="268" spans="1:6" x14ac:dyDescent="0.25">
      <c r="A268" t="s">
        <v>49</v>
      </c>
      <c r="B268">
        <v>2</v>
      </c>
      <c r="C268" t="s">
        <v>25</v>
      </c>
      <c r="D268" t="s">
        <v>3</v>
      </c>
      <c r="E268" s="8">
        <v>44132</v>
      </c>
      <c r="F268">
        <v>95</v>
      </c>
    </row>
    <row r="269" spans="1:6" x14ac:dyDescent="0.25">
      <c r="A269" t="s">
        <v>49</v>
      </c>
      <c r="B269">
        <v>2</v>
      </c>
      <c r="C269" t="s">
        <v>25</v>
      </c>
      <c r="D269" t="s">
        <v>3</v>
      </c>
      <c r="E269" s="8">
        <v>44133</v>
      </c>
      <c r="F269">
        <v>33</v>
      </c>
    </row>
    <row r="270" spans="1:6" x14ac:dyDescent="0.25">
      <c r="A270" t="s">
        <v>49</v>
      </c>
      <c r="B270">
        <v>2</v>
      </c>
      <c r="C270" t="s">
        <v>25</v>
      </c>
      <c r="D270" t="s">
        <v>3</v>
      </c>
      <c r="E270" s="8">
        <v>44134</v>
      </c>
      <c r="F270">
        <v>13</v>
      </c>
    </row>
    <row r="271" spans="1:6" x14ac:dyDescent="0.25">
      <c r="A271" t="s">
        <v>49</v>
      </c>
      <c r="B271">
        <v>2</v>
      </c>
      <c r="C271" t="s">
        <v>25</v>
      </c>
      <c r="D271" t="s">
        <v>3</v>
      </c>
      <c r="E271" s="8">
        <v>44135</v>
      </c>
      <c r="F271">
        <v>17</v>
      </c>
    </row>
    <row r="272" spans="1:6" x14ac:dyDescent="0.25">
      <c r="A272" t="s">
        <v>49</v>
      </c>
      <c r="B272">
        <v>2</v>
      </c>
      <c r="C272" t="s">
        <v>25</v>
      </c>
      <c r="D272" t="s">
        <v>3</v>
      </c>
      <c r="E272" s="8">
        <v>44136</v>
      </c>
      <c r="F272">
        <v>50</v>
      </c>
    </row>
    <row r="273" spans="1:6" x14ac:dyDescent="0.25">
      <c r="A273" t="s">
        <v>49</v>
      </c>
      <c r="B273">
        <v>2</v>
      </c>
      <c r="C273" t="s">
        <v>25</v>
      </c>
      <c r="D273" t="s">
        <v>3</v>
      </c>
      <c r="E273" s="8">
        <v>44137</v>
      </c>
      <c r="F273">
        <v>26</v>
      </c>
    </row>
    <row r="274" spans="1:6" x14ac:dyDescent="0.25">
      <c r="A274" t="s">
        <v>49</v>
      </c>
      <c r="B274">
        <v>2</v>
      </c>
      <c r="C274" t="s">
        <v>25</v>
      </c>
      <c r="D274" t="s">
        <v>3</v>
      </c>
      <c r="E274" s="8">
        <v>44138</v>
      </c>
      <c r="F274">
        <v>49</v>
      </c>
    </row>
    <row r="275" spans="1:6" x14ac:dyDescent="0.25">
      <c r="A275" t="s">
        <v>49</v>
      </c>
      <c r="B275">
        <v>2</v>
      </c>
      <c r="C275" t="s">
        <v>25</v>
      </c>
      <c r="D275" t="s">
        <v>3</v>
      </c>
      <c r="E275" s="8">
        <v>44139</v>
      </c>
      <c r="F275">
        <v>97</v>
      </c>
    </row>
    <row r="276" spans="1:6" x14ac:dyDescent="0.25">
      <c r="A276" t="s">
        <v>49</v>
      </c>
      <c r="B276">
        <v>2</v>
      </c>
      <c r="C276" t="s">
        <v>25</v>
      </c>
      <c r="D276" t="s">
        <v>3</v>
      </c>
      <c r="E276" s="8">
        <v>44140</v>
      </c>
      <c r="F276">
        <v>67</v>
      </c>
    </row>
    <row r="277" spans="1:6" x14ac:dyDescent="0.25">
      <c r="A277" t="s">
        <v>49</v>
      </c>
      <c r="B277">
        <v>2</v>
      </c>
      <c r="C277" t="s">
        <v>25</v>
      </c>
      <c r="D277" t="s">
        <v>3</v>
      </c>
      <c r="E277" s="8">
        <v>44141</v>
      </c>
      <c r="F277">
        <v>59</v>
      </c>
    </row>
    <row r="278" spans="1:6" x14ac:dyDescent="0.25">
      <c r="A278" t="s">
        <v>49</v>
      </c>
      <c r="B278">
        <v>2</v>
      </c>
      <c r="C278" t="s">
        <v>25</v>
      </c>
      <c r="D278" t="s">
        <v>3</v>
      </c>
      <c r="E278" s="8">
        <v>44142</v>
      </c>
      <c r="F278">
        <v>155</v>
      </c>
    </row>
    <row r="279" spans="1:6" x14ac:dyDescent="0.25">
      <c r="A279" t="s">
        <v>49</v>
      </c>
      <c r="B279">
        <v>2</v>
      </c>
      <c r="C279" t="s">
        <v>25</v>
      </c>
      <c r="D279" t="s">
        <v>3</v>
      </c>
      <c r="E279" s="8">
        <v>44214</v>
      </c>
      <c r="F279">
        <v>10</v>
      </c>
    </row>
    <row r="280" spans="1:6" x14ac:dyDescent="0.25">
      <c r="A280" t="s">
        <v>49</v>
      </c>
      <c r="B280">
        <v>2</v>
      </c>
      <c r="C280" t="s">
        <v>26</v>
      </c>
      <c r="D280" t="s">
        <v>2</v>
      </c>
      <c r="E280" s="8">
        <v>44174</v>
      </c>
      <c r="F280">
        <v>29</v>
      </c>
    </row>
    <row r="281" spans="1:6" x14ac:dyDescent="0.25">
      <c r="A281" t="s">
        <v>49</v>
      </c>
      <c r="B281">
        <v>2</v>
      </c>
      <c r="C281" t="s">
        <v>26</v>
      </c>
      <c r="D281" t="s">
        <v>2</v>
      </c>
      <c r="E281" s="8">
        <v>44175</v>
      </c>
      <c r="F281">
        <v>73</v>
      </c>
    </row>
    <row r="282" spans="1:6" x14ac:dyDescent="0.25">
      <c r="A282" t="s">
        <v>49</v>
      </c>
      <c r="B282">
        <v>2</v>
      </c>
      <c r="C282" t="s">
        <v>26</v>
      </c>
      <c r="D282" t="s">
        <v>2</v>
      </c>
      <c r="E282" s="8">
        <v>44176</v>
      </c>
      <c r="F282">
        <v>92</v>
      </c>
    </row>
    <row r="283" spans="1:6" x14ac:dyDescent="0.25">
      <c r="A283" t="s">
        <v>49</v>
      </c>
      <c r="B283">
        <v>2</v>
      </c>
      <c r="C283" t="s">
        <v>26</v>
      </c>
      <c r="D283" t="s">
        <v>2</v>
      </c>
      <c r="E283" s="8">
        <v>44177</v>
      </c>
      <c r="F283">
        <v>150</v>
      </c>
    </row>
    <row r="284" spans="1:6" x14ac:dyDescent="0.25">
      <c r="A284" t="s">
        <v>49</v>
      </c>
      <c r="B284">
        <v>2</v>
      </c>
      <c r="C284" t="s">
        <v>26</v>
      </c>
      <c r="D284" t="s">
        <v>2</v>
      </c>
      <c r="E284" s="8">
        <v>44178</v>
      </c>
      <c r="F284">
        <v>111</v>
      </c>
    </row>
    <row r="285" spans="1:6" x14ac:dyDescent="0.25">
      <c r="A285" t="s">
        <v>49</v>
      </c>
      <c r="B285">
        <v>2</v>
      </c>
      <c r="C285" t="s">
        <v>26</v>
      </c>
      <c r="D285" t="s">
        <v>2</v>
      </c>
      <c r="E285" s="8">
        <v>44179</v>
      </c>
      <c r="F285">
        <v>9</v>
      </c>
    </row>
    <row r="286" spans="1:6" x14ac:dyDescent="0.25">
      <c r="A286" t="s">
        <v>49</v>
      </c>
      <c r="B286">
        <v>2</v>
      </c>
      <c r="C286" t="s">
        <v>26</v>
      </c>
      <c r="D286" t="s">
        <v>2</v>
      </c>
      <c r="E286" s="8">
        <v>44180</v>
      </c>
      <c r="F286">
        <v>50</v>
      </c>
    </row>
    <row r="287" spans="1:6" x14ac:dyDescent="0.25">
      <c r="A287" t="s">
        <v>49</v>
      </c>
      <c r="B287">
        <v>2</v>
      </c>
      <c r="C287" t="s">
        <v>26</v>
      </c>
      <c r="D287" t="s">
        <v>2</v>
      </c>
      <c r="E287" s="8">
        <v>44181</v>
      </c>
      <c r="F287">
        <v>173</v>
      </c>
    </row>
    <row r="288" spans="1:6" x14ac:dyDescent="0.25">
      <c r="A288" t="s">
        <v>49</v>
      </c>
      <c r="B288">
        <v>2</v>
      </c>
      <c r="C288" t="s">
        <v>26</v>
      </c>
      <c r="D288" t="s">
        <v>2</v>
      </c>
      <c r="E288" s="8">
        <v>44182</v>
      </c>
      <c r="F288">
        <v>20</v>
      </c>
    </row>
    <row r="289" spans="1:6" x14ac:dyDescent="0.25">
      <c r="A289" t="s">
        <v>49</v>
      </c>
      <c r="B289">
        <v>2</v>
      </c>
      <c r="C289" t="s">
        <v>26</v>
      </c>
      <c r="D289" t="s">
        <v>2</v>
      </c>
      <c r="E289" s="8">
        <v>44183</v>
      </c>
      <c r="F289">
        <v>15</v>
      </c>
    </row>
    <row r="290" spans="1:6" x14ac:dyDescent="0.25">
      <c r="A290" t="s">
        <v>49</v>
      </c>
      <c r="B290">
        <v>2</v>
      </c>
      <c r="C290" t="s">
        <v>26</v>
      </c>
      <c r="D290" t="s">
        <v>2</v>
      </c>
      <c r="E290" s="8">
        <v>44205</v>
      </c>
      <c r="F290">
        <v>13</v>
      </c>
    </row>
    <row r="291" spans="1:6" x14ac:dyDescent="0.25">
      <c r="A291" t="s">
        <v>49</v>
      </c>
      <c r="B291">
        <v>2</v>
      </c>
      <c r="C291" t="s">
        <v>27</v>
      </c>
      <c r="D291" t="s">
        <v>2</v>
      </c>
      <c r="E291" s="8">
        <v>44156</v>
      </c>
      <c r="F291">
        <v>103</v>
      </c>
    </row>
    <row r="292" spans="1:6" x14ac:dyDescent="0.25">
      <c r="A292" t="s">
        <v>49</v>
      </c>
      <c r="B292">
        <v>2</v>
      </c>
      <c r="C292" t="s">
        <v>27</v>
      </c>
      <c r="D292" t="s">
        <v>2</v>
      </c>
      <c r="E292" s="8">
        <v>44157</v>
      </c>
      <c r="F292">
        <v>54</v>
      </c>
    </row>
    <row r="293" spans="1:6" x14ac:dyDescent="0.25">
      <c r="A293" t="s">
        <v>49</v>
      </c>
      <c r="B293">
        <v>2</v>
      </c>
      <c r="C293" t="s">
        <v>27</v>
      </c>
      <c r="D293" t="s">
        <v>2</v>
      </c>
      <c r="E293" s="8">
        <v>44158</v>
      </c>
      <c r="F293">
        <v>39</v>
      </c>
    </row>
    <row r="294" spans="1:6" x14ac:dyDescent="0.25">
      <c r="A294" t="s">
        <v>49</v>
      </c>
      <c r="B294">
        <v>2</v>
      </c>
      <c r="C294" t="s">
        <v>27</v>
      </c>
      <c r="D294" t="s">
        <v>2</v>
      </c>
      <c r="E294" s="8">
        <v>44159</v>
      </c>
      <c r="F294">
        <v>105</v>
      </c>
    </row>
    <row r="295" spans="1:6" x14ac:dyDescent="0.25">
      <c r="A295" t="s">
        <v>49</v>
      </c>
      <c r="B295">
        <v>2</v>
      </c>
      <c r="C295" t="s">
        <v>27</v>
      </c>
      <c r="D295" t="s">
        <v>2</v>
      </c>
      <c r="E295" s="8">
        <v>44160</v>
      </c>
      <c r="F295">
        <v>104</v>
      </c>
    </row>
    <row r="296" spans="1:6" x14ac:dyDescent="0.25">
      <c r="A296" t="s">
        <v>49</v>
      </c>
      <c r="B296">
        <v>2</v>
      </c>
      <c r="C296" t="s">
        <v>27</v>
      </c>
      <c r="D296" t="s">
        <v>2</v>
      </c>
      <c r="E296" s="8">
        <v>44161</v>
      </c>
      <c r="F296">
        <v>63</v>
      </c>
    </row>
    <row r="297" spans="1:6" x14ac:dyDescent="0.25">
      <c r="A297" t="s">
        <v>49</v>
      </c>
      <c r="B297">
        <v>2</v>
      </c>
      <c r="C297" t="s">
        <v>27</v>
      </c>
      <c r="D297" t="s">
        <v>2</v>
      </c>
      <c r="E297" s="8">
        <v>44162</v>
      </c>
      <c r="F297">
        <v>110</v>
      </c>
    </row>
    <row r="298" spans="1:6" x14ac:dyDescent="0.25">
      <c r="A298" t="s">
        <v>49</v>
      </c>
      <c r="B298">
        <v>2</v>
      </c>
      <c r="C298" t="s">
        <v>27</v>
      </c>
      <c r="D298" t="s">
        <v>2</v>
      </c>
      <c r="E298" s="8">
        <v>44163</v>
      </c>
      <c r="F298">
        <v>102</v>
      </c>
    </row>
    <row r="299" spans="1:6" x14ac:dyDescent="0.25">
      <c r="A299" t="s">
        <v>49</v>
      </c>
      <c r="B299">
        <v>2</v>
      </c>
      <c r="C299" t="s">
        <v>27</v>
      </c>
      <c r="D299" t="s">
        <v>2</v>
      </c>
      <c r="E299" s="8">
        <v>44164</v>
      </c>
      <c r="F299">
        <v>151</v>
      </c>
    </row>
    <row r="300" spans="1:6" x14ac:dyDescent="0.25">
      <c r="A300" t="s">
        <v>49</v>
      </c>
      <c r="B300">
        <v>2</v>
      </c>
      <c r="C300" t="s">
        <v>27</v>
      </c>
      <c r="D300" t="s">
        <v>2</v>
      </c>
      <c r="E300" s="8">
        <v>44165</v>
      </c>
      <c r="F300">
        <v>0</v>
      </c>
    </row>
    <row r="301" spans="1:6" x14ac:dyDescent="0.25">
      <c r="A301" t="s">
        <v>49</v>
      </c>
      <c r="B301">
        <v>2</v>
      </c>
      <c r="C301" t="s">
        <v>27</v>
      </c>
      <c r="D301" t="s">
        <v>2</v>
      </c>
      <c r="E301" s="8">
        <v>44166</v>
      </c>
      <c r="F301">
        <v>106</v>
      </c>
    </row>
    <row r="302" spans="1:6" x14ac:dyDescent="0.25">
      <c r="A302" t="s">
        <v>49</v>
      </c>
      <c r="B302">
        <v>2</v>
      </c>
      <c r="C302" t="s">
        <v>27</v>
      </c>
      <c r="D302" t="s">
        <v>2</v>
      </c>
      <c r="E302" s="8">
        <v>44167</v>
      </c>
      <c r="F302">
        <v>5</v>
      </c>
    </row>
    <row r="303" spans="1:6" x14ac:dyDescent="0.25">
      <c r="A303" t="s">
        <v>49</v>
      </c>
      <c r="B303">
        <v>2</v>
      </c>
      <c r="C303" t="s">
        <v>27</v>
      </c>
      <c r="D303" t="s">
        <v>2</v>
      </c>
      <c r="E303" s="8">
        <v>44169</v>
      </c>
      <c r="F303">
        <v>8</v>
      </c>
    </row>
    <row r="304" spans="1:6" x14ac:dyDescent="0.25">
      <c r="A304" t="s">
        <v>49</v>
      </c>
      <c r="B304">
        <v>2</v>
      </c>
      <c r="C304" t="s">
        <v>27</v>
      </c>
      <c r="D304" t="s">
        <v>2</v>
      </c>
      <c r="E304" s="8">
        <v>44170</v>
      </c>
      <c r="F304">
        <v>142</v>
      </c>
    </row>
    <row r="305" spans="1:6" x14ac:dyDescent="0.25">
      <c r="A305" t="s">
        <v>49</v>
      </c>
      <c r="B305">
        <v>2</v>
      </c>
      <c r="C305" t="s">
        <v>27</v>
      </c>
      <c r="D305" t="s">
        <v>2</v>
      </c>
      <c r="E305" s="8">
        <v>44171</v>
      </c>
      <c r="F305">
        <v>62</v>
      </c>
    </row>
    <row r="306" spans="1:6" x14ac:dyDescent="0.25">
      <c r="A306" t="s">
        <v>49</v>
      </c>
      <c r="B306">
        <v>2</v>
      </c>
      <c r="C306" t="s">
        <v>27</v>
      </c>
      <c r="D306" t="s">
        <v>2</v>
      </c>
      <c r="E306" s="8">
        <v>44172</v>
      </c>
      <c r="F306">
        <v>110</v>
      </c>
    </row>
    <row r="307" spans="1:6" x14ac:dyDescent="0.25">
      <c r="A307" t="s">
        <v>49</v>
      </c>
      <c r="B307">
        <v>2</v>
      </c>
      <c r="C307" t="s">
        <v>27</v>
      </c>
      <c r="D307" t="s">
        <v>2</v>
      </c>
      <c r="E307" s="8">
        <v>44173</v>
      </c>
      <c r="F307">
        <v>48</v>
      </c>
    </row>
    <row r="308" spans="1:6" x14ac:dyDescent="0.25">
      <c r="A308" t="s">
        <v>49</v>
      </c>
      <c r="B308">
        <v>2</v>
      </c>
      <c r="C308" t="s">
        <v>28</v>
      </c>
      <c r="D308" t="s">
        <v>3</v>
      </c>
      <c r="E308" s="8">
        <v>44100</v>
      </c>
      <c r="F308">
        <v>7</v>
      </c>
    </row>
    <row r="309" spans="1:6" x14ac:dyDescent="0.25">
      <c r="A309" t="s">
        <v>49</v>
      </c>
      <c r="B309">
        <v>2</v>
      </c>
      <c r="C309" t="s">
        <v>28</v>
      </c>
      <c r="D309" t="s">
        <v>3</v>
      </c>
      <c r="E309" s="8">
        <v>44101</v>
      </c>
      <c r="F309">
        <v>27</v>
      </c>
    </row>
    <row r="310" spans="1:6" x14ac:dyDescent="0.25">
      <c r="A310" t="s">
        <v>49</v>
      </c>
      <c r="B310">
        <v>2</v>
      </c>
      <c r="C310" t="s">
        <v>28</v>
      </c>
      <c r="D310" t="s">
        <v>3</v>
      </c>
      <c r="E310" s="8">
        <v>44102</v>
      </c>
      <c r="F310">
        <v>8</v>
      </c>
    </row>
    <row r="311" spans="1:6" x14ac:dyDescent="0.25">
      <c r="A311" t="s">
        <v>49</v>
      </c>
      <c r="B311">
        <v>2</v>
      </c>
      <c r="C311" t="s">
        <v>28</v>
      </c>
      <c r="D311" t="s">
        <v>3</v>
      </c>
      <c r="E311" s="8">
        <v>44103</v>
      </c>
      <c r="F311">
        <v>24</v>
      </c>
    </row>
    <row r="312" spans="1:6" x14ac:dyDescent="0.25">
      <c r="A312" t="s">
        <v>49</v>
      </c>
      <c r="B312">
        <v>2</v>
      </c>
      <c r="C312" t="s">
        <v>28</v>
      </c>
      <c r="D312" t="s">
        <v>3</v>
      </c>
      <c r="E312" s="8">
        <v>44104</v>
      </c>
      <c r="F312">
        <v>75</v>
      </c>
    </row>
    <row r="313" spans="1:6" x14ac:dyDescent="0.25">
      <c r="A313" t="s">
        <v>49</v>
      </c>
      <c r="B313">
        <v>2</v>
      </c>
      <c r="C313" t="s">
        <v>28</v>
      </c>
      <c r="D313" t="s">
        <v>3</v>
      </c>
      <c r="E313" s="8">
        <v>44105</v>
      </c>
      <c r="F313">
        <v>65</v>
      </c>
    </row>
    <row r="314" spans="1:6" x14ac:dyDescent="0.25">
      <c r="A314" t="s">
        <v>49</v>
      </c>
      <c r="B314">
        <v>2</v>
      </c>
      <c r="C314" t="s">
        <v>28</v>
      </c>
      <c r="D314" t="s">
        <v>3</v>
      </c>
      <c r="E314" s="8">
        <v>44106</v>
      </c>
      <c r="F314">
        <v>76</v>
      </c>
    </row>
    <row r="315" spans="1:6" x14ac:dyDescent="0.25">
      <c r="A315" t="s">
        <v>49</v>
      </c>
      <c r="B315">
        <v>2</v>
      </c>
      <c r="C315" t="s">
        <v>28</v>
      </c>
      <c r="D315" t="s">
        <v>3</v>
      </c>
      <c r="E315" s="8">
        <v>44107</v>
      </c>
      <c r="F315">
        <v>57</v>
      </c>
    </row>
    <row r="316" spans="1:6" x14ac:dyDescent="0.25">
      <c r="A316" t="s">
        <v>49</v>
      </c>
      <c r="B316">
        <v>2</v>
      </c>
      <c r="C316" t="s">
        <v>28</v>
      </c>
      <c r="D316" t="s">
        <v>3</v>
      </c>
      <c r="E316" s="8">
        <v>44108</v>
      </c>
      <c r="F316">
        <v>64</v>
      </c>
    </row>
    <row r="317" spans="1:6" x14ac:dyDescent="0.25">
      <c r="A317" t="s">
        <v>49</v>
      </c>
      <c r="B317">
        <v>2</v>
      </c>
      <c r="C317" t="s">
        <v>28</v>
      </c>
      <c r="D317" t="s">
        <v>3</v>
      </c>
      <c r="E317" s="8">
        <v>44109</v>
      </c>
      <c r="F317">
        <v>20</v>
      </c>
    </row>
    <row r="318" spans="1:6" x14ac:dyDescent="0.25">
      <c r="A318" t="s">
        <v>49</v>
      </c>
      <c r="B318">
        <v>2</v>
      </c>
      <c r="C318" t="s">
        <v>28</v>
      </c>
      <c r="D318" t="s">
        <v>3</v>
      </c>
      <c r="E318" s="8">
        <v>44111</v>
      </c>
      <c r="F318">
        <v>133</v>
      </c>
    </row>
    <row r="319" spans="1:6" x14ac:dyDescent="0.25">
      <c r="A319" t="s">
        <v>49</v>
      </c>
      <c r="B319">
        <v>2</v>
      </c>
      <c r="C319" t="s">
        <v>28</v>
      </c>
      <c r="D319" t="s">
        <v>3</v>
      </c>
      <c r="E319" s="8">
        <v>44112</v>
      </c>
      <c r="F319">
        <v>72</v>
      </c>
    </row>
    <row r="320" spans="1:6" x14ac:dyDescent="0.25">
      <c r="A320" t="s">
        <v>49</v>
      </c>
      <c r="B320">
        <v>2</v>
      </c>
      <c r="C320" t="s">
        <v>28</v>
      </c>
      <c r="D320" t="s">
        <v>3</v>
      </c>
      <c r="E320" s="8">
        <v>44113</v>
      </c>
      <c r="F320">
        <v>81</v>
      </c>
    </row>
    <row r="321" spans="1:6" x14ac:dyDescent="0.25">
      <c r="A321" t="s">
        <v>49</v>
      </c>
      <c r="B321">
        <v>2</v>
      </c>
      <c r="C321" t="s">
        <v>28</v>
      </c>
      <c r="D321" t="s">
        <v>3</v>
      </c>
      <c r="E321" s="8">
        <v>44114</v>
      </c>
      <c r="F321">
        <v>26</v>
      </c>
    </row>
    <row r="322" spans="1:6" x14ac:dyDescent="0.25">
      <c r="A322" t="s">
        <v>49</v>
      </c>
      <c r="B322">
        <v>2</v>
      </c>
      <c r="C322" t="s">
        <v>28</v>
      </c>
      <c r="D322" t="s">
        <v>3</v>
      </c>
      <c r="E322" s="8">
        <v>44115</v>
      </c>
      <c r="F322">
        <v>31</v>
      </c>
    </row>
    <row r="323" spans="1:6" x14ac:dyDescent="0.25">
      <c r="A323" t="s">
        <v>49</v>
      </c>
      <c r="B323">
        <v>2</v>
      </c>
      <c r="C323" t="s">
        <v>28</v>
      </c>
      <c r="D323" t="s">
        <v>3</v>
      </c>
      <c r="E323" s="8">
        <v>44146</v>
      </c>
      <c r="F323">
        <v>1</v>
      </c>
    </row>
    <row r="324" spans="1:6" x14ac:dyDescent="0.25">
      <c r="A324" t="s">
        <v>49</v>
      </c>
      <c r="B324">
        <v>2</v>
      </c>
      <c r="C324" t="s">
        <v>28</v>
      </c>
      <c r="D324" t="s">
        <v>3</v>
      </c>
      <c r="E324" s="8">
        <v>44211</v>
      </c>
      <c r="F324">
        <v>0</v>
      </c>
    </row>
    <row r="325" spans="1:6" x14ac:dyDescent="0.25">
      <c r="A325" t="s">
        <v>49</v>
      </c>
      <c r="B325">
        <v>2</v>
      </c>
      <c r="C325" t="s">
        <v>28</v>
      </c>
      <c r="D325" t="s">
        <v>3</v>
      </c>
      <c r="E325" s="8">
        <v>44212</v>
      </c>
      <c r="F325">
        <v>36</v>
      </c>
    </row>
    <row r="326" spans="1:6" x14ac:dyDescent="0.25">
      <c r="A326" t="s">
        <v>49</v>
      </c>
      <c r="B326">
        <v>2</v>
      </c>
      <c r="C326" t="s">
        <v>29</v>
      </c>
      <c r="D326" t="s">
        <v>3</v>
      </c>
      <c r="E326" s="8">
        <v>44059</v>
      </c>
      <c r="F326">
        <v>176</v>
      </c>
    </row>
    <row r="327" spans="1:6" x14ac:dyDescent="0.25">
      <c r="A327" t="s">
        <v>49</v>
      </c>
      <c r="B327">
        <v>2</v>
      </c>
      <c r="C327" t="s">
        <v>29</v>
      </c>
      <c r="D327" t="s">
        <v>3</v>
      </c>
      <c r="E327" s="8">
        <v>44060</v>
      </c>
      <c r="F327">
        <v>139</v>
      </c>
    </row>
    <row r="328" spans="1:6" x14ac:dyDescent="0.25">
      <c r="A328" t="s">
        <v>49</v>
      </c>
      <c r="B328">
        <v>2</v>
      </c>
      <c r="C328" t="s">
        <v>29</v>
      </c>
      <c r="D328" t="s">
        <v>3</v>
      </c>
      <c r="E328" s="8">
        <v>44068</v>
      </c>
      <c r="F328">
        <v>76</v>
      </c>
    </row>
    <row r="329" spans="1:6" x14ac:dyDescent="0.25">
      <c r="A329" t="s">
        <v>49</v>
      </c>
      <c r="B329">
        <v>2</v>
      </c>
      <c r="C329" t="s">
        <v>29</v>
      </c>
      <c r="D329" t="s">
        <v>3</v>
      </c>
      <c r="E329" s="8">
        <v>44069</v>
      </c>
      <c r="F329">
        <v>29</v>
      </c>
    </row>
    <row r="330" spans="1:6" x14ac:dyDescent="0.25">
      <c r="A330" t="s">
        <v>49</v>
      </c>
      <c r="B330">
        <v>2</v>
      </c>
      <c r="C330" t="s">
        <v>29</v>
      </c>
      <c r="D330" t="s">
        <v>3</v>
      </c>
      <c r="E330" s="8">
        <v>44070</v>
      </c>
      <c r="F330">
        <v>78</v>
      </c>
    </row>
    <row r="331" spans="1:6" x14ac:dyDescent="0.25">
      <c r="A331" t="s">
        <v>49</v>
      </c>
      <c r="B331">
        <v>2</v>
      </c>
      <c r="C331" t="s">
        <v>29</v>
      </c>
      <c r="D331" t="s">
        <v>3</v>
      </c>
      <c r="E331" s="8">
        <v>44071</v>
      </c>
      <c r="F331">
        <v>54</v>
      </c>
    </row>
    <row r="332" spans="1:6" x14ac:dyDescent="0.25">
      <c r="A332" t="s">
        <v>49</v>
      </c>
      <c r="B332">
        <v>2</v>
      </c>
      <c r="C332" t="s">
        <v>29</v>
      </c>
      <c r="D332" t="s">
        <v>3</v>
      </c>
      <c r="E332" s="8">
        <v>44072</v>
      </c>
      <c r="F332">
        <v>8</v>
      </c>
    </row>
    <row r="333" spans="1:6" x14ac:dyDescent="0.25">
      <c r="A333" t="s">
        <v>49</v>
      </c>
      <c r="B333">
        <v>2</v>
      </c>
      <c r="C333" t="s">
        <v>29</v>
      </c>
      <c r="D333" t="s">
        <v>3</v>
      </c>
      <c r="E333" s="8">
        <v>44073</v>
      </c>
      <c r="F333">
        <v>87</v>
      </c>
    </row>
    <row r="334" spans="1:6" x14ac:dyDescent="0.25">
      <c r="A334" t="s">
        <v>49</v>
      </c>
      <c r="B334">
        <v>2</v>
      </c>
      <c r="C334" t="s">
        <v>29</v>
      </c>
      <c r="D334" t="s">
        <v>3</v>
      </c>
      <c r="E334" s="8">
        <v>44074</v>
      </c>
      <c r="F334">
        <v>9</v>
      </c>
    </row>
    <row r="335" spans="1:6" x14ac:dyDescent="0.25">
      <c r="A335" t="s">
        <v>49</v>
      </c>
      <c r="B335">
        <v>2</v>
      </c>
      <c r="C335" t="s">
        <v>29</v>
      </c>
      <c r="D335" t="s">
        <v>3</v>
      </c>
      <c r="E335" s="8">
        <v>44075</v>
      </c>
      <c r="F335">
        <v>88</v>
      </c>
    </row>
    <row r="336" spans="1:6" x14ac:dyDescent="0.25">
      <c r="A336" t="s">
        <v>49</v>
      </c>
      <c r="B336">
        <v>2</v>
      </c>
      <c r="C336" t="s">
        <v>29</v>
      </c>
      <c r="D336" t="s">
        <v>3</v>
      </c>
      <c r="E336" s="8">
        <v>44076</v>
      </c>
      <c r="F336">
        <v>19</v>
      </c>
    </row>
    <row r="337" spans="1:6" x14ac:dyDescent="0.25">
      <c r="A337" t="s">
        <v>49</v>
      </c>
      <c r="B337">
        <v>2</v>
      </c>
      <c r="C337" t="s">
        <v>29</v>
      </c>
      <c r="D337" t="s">
        <v>3</v>
      </c>
      <c r="E337" s="8">
        <v>44203</v>
      </c>
      <c r="F337">
        <v>3</v>
      </c>
    </row>
    <row r="338" spans="1:6" x14ac:dyDescent="0.25">
      <c r="A338" t="s">
        <v>49</v>
      </c>
      <c r="B338">
        <v>2</v>
      </c>
      <c r="C338" t="s">
        <v>30</v>
      </c>
      <c r="D338" t="s">
        <v>2</v>
      </c>
      <c r="E338" s="8">
        <v>44178</v>
      </c>
      <c r="F338">
        <v>2</v>
      </c>
    </row>
    <row r="339" spans="1:6" x14ac:dyDescent="0.25">
      <c r="A339" t="s">
        <v>49</v>
      </c>
      <c r="B339">
        <v>2</v>
      </c>
      <c r="C339" t="s">
        <v>30</v>
      </c>
      <c r="D339" t="s">
        <v>2</v>
      </c>
      <c r="E339" s="8">
        <v>44179</v>
      </c>
      <c r="F339">
        <v>120</v>
      </c>
    </row>
    <row r="340" spans="1:6" x14ac:dyDescent="0.25">
      <c r="A340" t="s">
        <v>49</v>
      </c>
      <c r="B340">
        <v>2</v>
      </c>
      <c r="C340" t="s">
        <v>30</v>
      </c>
      <c r="D340" t="s">
        <v>2</v>
      </c>
      <c r="E340" s="8">
        <v>44180</v>
      </c>
      <c r="F340">
        <v>60</v>
      </c>
    </row>
    <row r="341" spans="1:6" x14ac:dyDescent="0.25">
      <c r="A341" t="s">
        <v>49</v>
      </c>
      <c r="B341">
        <v>2</v>
      </c>
      <c r="C341" t="s">
        <v>30</v>
      </c>
      <c r="D341" t="s">
        <v>2</v>
      </c>
      <c r="E341" s="8">
        <v>44181</v>
      </c>
      <c r="F341">
        <v>51</v>
      </c>
    </row>
    <row r="342" spans="1:6" x14ac:dyDescent="0.25">
      <c r="A342" t="s">
        <v>49</v>
      </c>
      <c r="B342">
        <v>2</v>
      </c>
      <c r="C342" t="s">
        <v>30</v>
      </c>
      <c r="D342" t="s">
        <v>2</v>
      </c>
      <c r="E342" s="8">
        <v>44207</v>
      </c>
      <c r="F342">
        <v>39</v>
      </c>
    </row>
    <row r="343" spans="1:6" x14ac:dyDescent="0.25">
      <c r="A343" t="s">
        <v>49</v>
      </c>
      <c r="B343">
        <v>3</v>
      </c>
      <c r="C343" t="s">
        <v>32</v>
      </c>
      <c r="D343" t="s">
        <v>4</v>
      </c>
      <c r="E343" s="8">
        <v>44252</v>
      </c>
      <c r="F343">
        <v>55</v>
      </c>
    </row>
    <row r="344" spans="1:6" x14ac:dyDescent="0.25">
      <c r="A344" t="s">
        <v>49</v>
      </c>
      <c r="B344">
        <v>3</v>
      </c>
      <c r="C344" t="s">
        <v>32</v>
      </c>
      <c r="D344" t="s">
        <v>4</v>
      </c>
      <c r="E344" s="8">
        <v>44253</v>
      </c>
      <c r="F344">
        <v>85</v>
      </c>
    </row>
    <row r="345" spans="1:6" x14ac:dyDescent="0.25">
      <c r="A345" t="s">
        <v>49</v>
      </c>
      <c r="B345">
        <v>3</v>
      </c>
      <c r="C345" t="s">
        <v>32</v>
      </c>
      <c r="D345" t="s">
        <v>4</v>
      </c>
      <c r="E345" s="8">
        <v>44254</v>
      </c>
      <c r="F345">
        <v>28</v>
      </c>
    </row>
    <row r="346" spans="1:6" x14ac:dyDescent="0.25">
      <c r="A346" t="s">
        <v>49</v>
      </c>
      <c r="B346">
        <v>3</v>
      </c>
      <c r="C346" t="s">
        <v>32</v>
      </c>
      <c r="D346" t="s">
        <v>4</v>
      </c>
      <c r="E346" s="8">
        <v>44255</v>
      </c>
      <c r="F346">
        <v>63</v>
      </c>
    </row>
    <row r="347" spans="1:6" x14ac:dyDescent="0.25">
      <c r="A347" t="s">
        <v>49</v>
      </c>
      <c r="B347">
        <v>3</v>
      </c>
      <c r="C347" t="s">
        <v>32</v>
      </c>
      <c r="D347" t="s">
        <v>4</v>
      </c>
      <c r="E347" s="8">
        <v>44258</v>
      </c>
      <c r="F347">
        <v>18</v>
      </c>
    </row>
    <row r="348" spans="1:6" x14ac:dyDescent="0.25">
      <c r="A348" t="s">
        <v>49</v>
      </c>
      <c r="B348">
        <v>3</v>
      </c>
      <c r="C348" t="s">
        <v>32</v>
      </c>
      <c r="D348" t="s">
        <v>4</v>
      </c>
      <c r="E348" s="8">
        <v>44259</v>
      </c>
      <c r="F348">
        <v>31</v>
      </c>
    </row>
    <row r="349" spans="1:6" x14ac:dyDescent="0.25">
      <c r="A349" t="s">
        <v>49</v>
      </c>
      <c r="B349">
        <v>3</v>
      </c>
      <c r="C349" t="s">
        <v>32</v>
      </c>
      <c r="D349" t="s">
        <v>4</v>
      </c>
      <c r="E349" s="8">
        <v>44261</v>
      </c>
      <c r="F349">
        <v>102</v>
      </c>
    </row>
    <row r="350" spans="1:6" x14ac:dyDescent="0.25">
      <c r="A350" t="s">
        <v>49</v>
      </c>
      <c r="B350">
        <v>3</v>
      </c>
      <c r="C350" t="s">
        <v>32</v>
      </c>
      <c r="D350" t="s">
        <v>4</v>
      </c>
      <c r="E350" s="8">
        <v>44306</v>
      </c>
      <c r="F350">
        <v>18</v>
      </c>
    </row>
    <row r="351" spans="1:6" x14ac:dyDescent="0.25">
      <c r="A351" t="s">
        <v>49</v>
      </c>
      <c r="B351">
        <v>3</v>
      </c>
      <c r="C351" t="s">
        <v>32</v>
      </c>
      <c r="D351" t="s">
        <v>4</v>
      </c>
      <c r="E351" s="8">
        <v>44307</v>
      </c>
      <c r="F351">
        <v>131</v>
      </c>
    </row>
    <row r="352" spans="1:6" x14ac:dyDescent="0.25">
      <c r="A352" t="s">
        <v>49</v>
      </c>
      <c r="B352">
        <v>3</v>
      </c>
      <c r="C352" t="s">
        <v>32</v>
      </c>
      <c r="D352" t="s">
        <v>4</v>
      </c>
      <c r="E352" s="8">
        <v>44308</v>
      </c>
      <c r="F352">
        <v>26</v>
      </c>
    </row>
    <row r="353" spans="1:6" x14ac:dyDescent="0.25">
      <c r="A353" t="s">
        <v>49</v>
      </c>
      <c r="B353">
        <v>3</v>
      </c>
      <c r="C353" t="s">
        <v>33</v>
      </c>
      <c r="D353" t="s">
        <v>4</v>
      </c>
      <c r="E353" s="8">
        <v>44080</v>
      </c>
      <c r="F353">
        <v>89</v>
      </c>
    </row>
    <row r="354" spans="1:6" x14ac:dyDescent="0.25">
      <c r="A354" t="s">
        <v>49</v>
      </c>
      <c r="B354">
        <v>3</v>
      </c>
      <c r="C354" t="s">
        <v>33</v>
      </c>
      <c r="D354" t="s">
        <v>4</v>
      </c>
      <c r="E354" s="8">
        <v>44081</v>
      </c>
      <c r="F354">
        <v>60</v>
      </c>
    </row>
    <row r="355" spans="1:6" x14ac:dyDescent="0.25">
      <c r="A355" t="s">
        <v>49</v>
      </c>
      <c r="B355">
        <v>3</v>
      </c>
      <c r="C355" t="s">
        <v>33</v>
      </c>
      <c r="D355" t="s">
        <v>4</v>
      </c>
      <c r="E355" s="8">
        <v>44082</v>
      </c>
      <c r="F355">
        <v>224</v>
      </c>
    </row>
    <row r="356" spans="1:6" x14ac:dyDescent="0.25">
      <c r="A356" t="s">
        <v>49</v>
      </c>
      <c r="B356">
        <v>3</v>
      </c>
      <c r="C356" t="s">
        <v>33</v>
      </c>
      <c r="D356" t="s">
        <v>4</v>
      </c>
      <c r="E356" s="8">
        <v>44083</v>
      </c>
      <c r="F356">
        <v>51</v>
      </c>
    </row>
    <row r="357" spans="1:6" x14ac:dyDescent="0.25">
      <c r="A357" t="s">
        <v>49</v>
      </c>
      <c r="B357">
        <v>3</v>
      </c>
      <c r="C357" t="s">
        <v>33</v>
      </c>
      <c r="D357" t="s">
        <v>4</v>
      </c>
      <c r="E357" s="8">
        <v>44084</v>
      </c>
      <c r="F357">
        <v>18</v>
      </c>
    </row>
    <row r="358" spans="1:6" x14ac:dyDescent="0.25">
      <c r="A358" t="s">
        <v>49</v>
      </c>
      <c r="B358">
        <v>3</v>
      </c>
      <c r="C358" t="s">
        <v>33</v>
      </c>
      <c r="D358" t="s">
        <v>4</v>
      </c>
      <c r="E358" s="8">
        <v>44086</v>
      </c>
      <c r="F358">
        <v>96</v>
      </c>
    </row>
    <row r="359" spans="1:6" x14ac:dyDescent="0.25">
      <c r="A359" t="s">
        <v>49</v>
      </c>
      <c r="B359">
        <v>3</v>
      </c>
      <c r="C359" t="s">
        <v>33</v>
      </c>
      <c r="D359" t="s">
        <v>4</v>
      </c>
      <c r="E359" s="8">
        <v>44087</v>
      </c>
      <c r="F359">
        <v>63</v>
      </c>
    </row>
    <row r="360" spans="1:6" x14ac:dyDescent="0.25">
      <c r="A360" t="s">
        <v>49</v>
      </c>
      <c r="B360">
        <v>3</v>
      </c>
      <c r="C360" t="s">
        <v>33</v>
      </c>
      <c r="D360" t="s">
        <v>4</v>
      </c>
      <c r="E360" s="8">
        <v>44094</v>
      </c>
      <c r="F360">
        <v>194</v>
      </c>
    </row>
    <row r="361" spans="1:6" x14ac:dyDescent="0.25">
      <c r="A361" t="s">
        <v>49</v>
      </c>
      <c r="B361">
        <v>3</v>
      </c>
      <c r="C361" t="s">
        <v>33</v>
      </c>
      <c r="D361" t="s">
        <v>4</v>
      </c>
      <c r="E361" s="8">
        <v>44095</v>
      </c>
      <c r="F361">
        <v>104</v>
      </c>
    </row>
    <row r="362" spans="1:6" x14ac:dyDescent="0.25">
      <c r="A362" t="s">
        <v>49</v>
      </c>
      <c r="B362">
        <v>3</v>
      </c>
      <c r="C362" t="s">
        <v>33</v>
      </c>
      <c r="D362" t="s">
        <v>4</v>
      </c>
      <c r="E362" s="8">
        <v>44096</v>
      </c>
      <c r="F362">
        <v>102</v>
      </c>
    </row>
    <row r="363" spans="1:6" x14ac:dyDescent="0.25">
      <c r="A363" t="s">
        <v>49</v>
      </c>
      <c r="B363">
        <v>3</v>
      </c>
      <c r="C363" t="s">
        <v>33</v>
      </c>
      <c r="D363" t="s">
        <v>4</v>
      </c>
      <c r="E363" s="8">
        <v>44097</v>
      </c>
      <c r="F363">
        <v>68</v>
      </c>
    </row>
    <row r="364" spans="1:6" x14ac:dyDescent="0.25">
      <c r="A364" t="s">
        <v>49</v>
      </c>
      <c r="B364">
        <v>3</v>
      </c>
      <c r="C364" t="s">
        <v>33</v>
      </c>
      <c r="D364" t="s">
        <v>4</v>
      </c>
      <c r="E364" s="8">
        <v>44098</v>
      </c>
      <c r="F364">
        <v>47</v>
      </c>
    </row>
    <row r="365" spans="1:6" x14ac:dyDescent="0.25">
      <c r="A365" t="s">
        <v>49</v>
      </c>
      <c r="B365">
        <v>3</v>
      </c>
      <c r="C365" t="s">
        <v>33</v>
      </c>
      <c r="D365" t="s">
        <v>4</v>
      </c>
      <c r="E365" s="8">
        <v>44099</v>
      </c>
      <c r="F365">
        <v>80</v>
      </c>
    </row>
    <row r="366" spans="1:6" x14ac:dyDescent="0.25">
      <c r="A366" t="s">
        <v>49</v>
      </c>
      <c r="B366">
        <v>3</v>
      </c>
      <c r="C366" t="s">
        <v>33</v>
      </c>
      <c r="D366" t="s">
        <v>4</v>
      </c>
      <c r="E366" s="8">
        <v>44100</v>
      </c>
      <c r="F366">
        <v>37</v>
      </c>
    </row>
    <row r="367" spans="1:6" x14ac:dyDescent="0.25">
      <c r="A367" t="s">
        <v>49</v>
      </c>
      <c r="B367">
        <v>3</v>
      </c>
      <c r="C367" t="s">
        <v>33</v>
      </c>
      <c r="D367" t="s">
        <v>4</v>
      </c>
      <c r="E367" s="8">
        <v>44101</v>
      </c>
      <c r="F367">
        <v>89</v>
      </c>
    </row>
    <row r="368" spans="1:6" x14ac:dyDescent="0.25">
      <c r="A368" t="s">
        <v>49</v>
      </c>
      <c r="B368">
        <v>3</v>
      </c>
      <c r="C368" t="s">
        <v>33</v>
      </c>
      <c r="D368" t="s">
        <v>4</v>
      </c>
      <c r="E368" s="8">
        <v>44104</v>
      </c>
      <c r="F368">
        <v>185</v>
      </c>
    </row>
    <row r="369" spans="1:6" x14ac:dyDescent="0.25">
      <c r="A369" t="s">
        <v>49</v>
      </c>
      <c r="B369">
        <v>3</v>
      </c>
      <c r="C369" t="s">
        <v>33</v>
      </c>
      <c r="D369" t="s">
        <v>4</v>
      </c>
      <c r="E369" s="8">
        <v>44105</v>
      </c>
      <c r="F369">
        <v>179</v>
      </c>
    </row>
    <row r="370" spans="1:6" x14ac:dyDescent="0.25">
      <c r="A370" t="s">
        <v>49</v>
      </c>
      <c r="B370">
        <v>3</v>
      </c>
      <c r="C370" t="s">
        <v>33</v>
      </c>
      <c r="D370" t="s">
        <v>4</v>
      </c>
      <c r="E370" s="8">
        <v>44107</v>
      </c>
      <c r="F370">
        <v>124</v>
      </c>
    </row>
    <row r="371" spans="1:6" x14ac:dyDescent="0.25">
      <c r="A371" t="s">
        <v>49</v>
      </c>
      <c r="B371">
        <v>3</v>
      </c>
      <c r="C371" t="s">
        <v>33</v>
      </c>
      <c r="D371" t="s">
        <v>4</v>
      </c>
      <c r="E371" s="8">
        <v>44131</v>
      </c>
      <c r="F371">
        <v>66</v>
      </c>
    </row>
    <row r="372" spans="1:6" x14ac:dyDescent="0.25">
      <c r="A372" t="s">
        <v>49</v>
      </c>
      <c r="B372">
        <v>3</v>
      </c>
      <c r="C372" t="s">
        <v>33</v>
      </c>
      <c r="D372" t="s">
        <v>4</v>
      </c>
      <c r="E372" s="8">
        <v>44132</v>
      </c>
      <c r="F372">
        <v>20</v>
      </c>
    </row>
    <row r="373" spans="1:6" x14ac:dyDescent="0.25">
      <c r="A373" t="s">
        <v>49</v>
      </c>
      <c r="B373">
        <v>3</v>
      </c>
      <c r="C373" t="s">
        <v>33</v>
      </c>
      <c r="D373" t="s">
        <v>4</v>
      </c>
      <c r="E373" s="8">
        <v>44133</v>
      </c>
      <c r="F373">
        <v>53</v>
      </c>
    </row>
    <row r="374" spans="1:6" x14ac:dyDescent="0.25">
      <c r="A374" t="s">
        <v>49</v>
      </c>
      <c r="B374">
        <v>3</v>
      </c>
      <c r="C374" t="s">
        <v>33</v>
      </c>
      <c r="D374" t="s">
        <v>4</v>
      </c>
      <c r="E374" s="8">
        <v>44134</v>
      </c>
      <c r="F374">
        <v>45</v>
      </c>
    </row>
    <row r="375" spans="1:6" x14ac:dyDescent="0.25">
      <c r="A375" t="s">
        <v>49</v>
      </c>
      <c r="B375">
        <v>3</v>
      </c>
      <c r="C375" t="s">
        <v>33</v>
      </c>
      <c r="D375" t="s">
        <v>4</v>
      </c>
      <c r="E375" s="8">
        <v>44135</v>
      </c>
      <c r="F375">
        <v>14</v>
      </c>
    </row>
    <row r="376" spans="1:6" x14ac:dyDescent="0.25">
      <c r="A376" t="s">
        <v>49</v>
      </c>
      <c r="B376">
        <v>3</v>
      </c>
      <c r="C376" t="s">
        <v>33</v>
      </c>
      <c r="D376" t="s">
        <v>4</v>
      </c>
      <c r="E376" s="8">
        <v>44136</v>
      </c>
      <c r="F376">
        <v>147</v>
      </c>
    </row>
    <row r="377" spans="1:6" x14ac:dyDescent="0.25">
      <c r="A377" t="s">
        <v>49</v>
      </c>
      <c r="B377">
        <v>3</v>
      </c>
      <c r="C377" t="s">
        <v>33</v>
      </c>
      <c r="D377" t="s">
        <v>4</v>
      </c>
      <c r="E377" s="8">
        <v>44137</v>
      </c>
      <c r="F377">
        <v>119</v>
      </c>
    </row>
    <row r="378" spans="1:6" x14ac:dyDescent="0.25">
      <c r="A378" t="s">
        <v>49</v>
      </c>
      <c r="B378">
        <v>3</v>
      </c>
      <c r="C378" t="s">
        <v>33</v>
      </c>
      <c r="D378" t="s">
        <v>4</v>
      </c>
      <c r="E378" s="8">
        <v>44138</v>
      </c>
      <c r="F378">
        <v>27</v>
      </c>
    </row>
    <row r="379" spans="1:6" x14ac:dyDescent="0.25">
      <c r="A379" t="s">
        <v>49</v>
      </c>
      <c r="B379">
        <v>3</v>
      </c>
      <c r="C379" t="s">
        <v>33</v>
      </c>
      <c r="D379" t="s">
        <v>4</v>
      </c>
      <c r="E379" s="8">
        <v>44145</v>
      </c>
      <c r="F379">
        <v>9</v>
      </c>
    </row>
    <row r="380" spans="1:6" x14ac:dyDescent="0.25">
      <c r="A380" t="s">
        <v>49</v>
      </c>
      <c r="B380">
        <v>3</v>
      </c>
      <c r="C380" t="s">
        <v>33</v>
      </c>
      <c r="D380" t="s">
        <v>4</v>
      </c>
      <c r="E380" s="8">
        <v>44146</v>
      </c>
      <c r="F380">
        <v>58</v>
      </c>
    </row>
    <row r="381" spans="1:6" x14ac:dyDescent="0.25">
      <c r="A381" t="s">
        <v>49</v>
      </c>
      <c r="B381">
        <v>3</v>
      </c>
      <c r="C381" t="s">
        <v>33</v>
      </c>
      <c r="D381" t="s">
        <v>4</v>
      </c>
      <c r="E381" s="8">
        <v>44147</v>
      </c>
      <c r="F381">
        <v>42</v>
      </c>
    </row>
    <row r="382" spans="1:6" x14ac:dyDescent="0.25">
      <c r="A382" t="s">
        <v>49</v>
      </c>
      <c r="B382">
        <v>3</v>
      </c>
      <c r="C382" t="s">
        <v>33</v>
      </c>
      <c r="D382" t="s">
        <v>4</v>
      </c>
      <c r="E382" s="8">
        <v>44148</v>
      </c>
      <c r="F382">
        <v>53</v>
      </c>
    </row>
    <row r="383" spans="1:6" x14ac:dyDescent="0.25">
      <c r="A383" t="s">
        <v>49</v>
      </c>
      <c r="B383">
        <v>3</v>
      </c>
      <c r="C383" t="s">
        <v>33</v>
      </c>
      <c r="D383" t="s">
        <v>4</v>
      </c>
      <c r="E383" s="8">
        <v>44149</v>
      </c>
      <c r="F383">
        <v>36</v>
      </c>
    </row>
    <row r="384" spans="1:6" x14ac:dyDescent="0.25">
      <c r="A384" t="s">
        <v>49</v>
      </c>
      <c r="B384">
        <v>3</v>
      </c>
      <c r="C384" t="s">
        <v>33</v>
      </c>
      <c r="D384" t="s">
        <v>4</v>
      </c>
      <c r="E384" s="8">
        <v>44150</v>
      </c>
      <c r="F384">
        <v>28</v>
      </c>
    </row>
    <row r="385" spans="1:6" x14ac:dyDescent="0.25">
      <c r="A385" t="s">
        <v>49</v>
      </c>
      <c r="B385">
        <v>3</v>
      </c>
      <c r="C385" t="s">
        <v>33</v>
      </c>
      <c r="D385" t="s">
        <v>4</v>
      </c>
      <c r="E385" s="8">
        <v>44151</v>
      </c>
      <c r="F385">
        <v>82</v>
      </c>
    </row>
    <row r="386" spans="1:6" x14ac:dyDescent="0.25">
      <c r="A386" t="s">
        <v>49</v>
      </c>
      <c r="B386">
        <v>3</v>
      </c>
      <c r="C386" t="s">
        <v>33</v>
      </c>
      <c r="D386" t="s">
        <v>4</v>
      </c>
      <c r="E386" s="8">
        <v>44152</v>
      </c>
      <c r="F386">
        <v>131</v>
      </c>
    </row>
    <row r="387" spans="1:6" x14ac:dyDescent="0.25">
      <c r="A387" t="s">
        <v>49</v>
      </c>
      <c r="B387">
        <v>3</v>
      </c>
      <c r="C387" t="s">
        <v>33</v>
      </c>
      <c r="D387" t="s">
        <v>4</v>
      </c>
      <c r="E387" s="8">
        <v>44153</v>
      </c>
      <c r="F387">
        <v>53</v>
      </c>
    </row>
    <row r="388" spans="1:6" x14ac:dyDescent="0.25">
      <c r="A388" t="s">
        <v>49</v>
      </c>
      <c r="B388">
        <v>3</v>
      </c>
      <c r="C388" t="s">
        <v>33</v>
      </c>
      <c r="D388" t="s">
        <v>4</v>
      </c>
      <c r="E388" s="8">
        <v>44154</v>
      </c>
      <c r="F388">
        <v>61</v>
      </c>
    </row>
    <row r="389" spans="1:6" x14ac:dyDescent="0.25">
      <c r="A389" t="s">
        <v>49</v>
      </c>
      <c r="B389">
        <v>3</v>
      </c>
      <c r="C389" t="s">
        <v>33</v>
      </c>
      <c r="D389" t="s">
        <v>4</v>
      </c>
      <c r="E389" s="8">
        <v>44155</v>
      </c>
      <c r="F389">
        <v>98</v>
      </c>
    </row>
    <row r="390" spans="1:6" x14ac:dyDescent="0.25">
      <c r="A390" t="s">
        <v>49</v>
      </c>
      <c r="B390">
        <v>3</v>
      </c>
      <c r="C390" t="s">
        <v>33</v>
      </c>
      <c r="D390" t="s">
        <v>4</v>
      </c>
      <c r="E390" s="8">
        <v>44156</v>
      </c>
      <c r="F390">
        <v>29</v>
      </c>
    </row>
    <row r="391" spans="1:6" x14ac:dyDescent="0.25">
      <c r="A391" t="s">
        <v>49</v>
      </c>
      <c r="B391">
        <v>3</v>
      </c>
      <c r="C391" t="s">
        <v>33</v>
      </c>
      <c r="D391" t="s">
        <v>4</v>
      </c>
      <c r="E391" s="8">
        <v>44251</v>
      </c>
      <c r="F391">
        <v>95</v>
      </c>
    </row>
    <row r="392" spans="1:6" x14ac:dyDescent="0.25">
      <c r="A392" t="s">
        <v>49</v>
      </c>
      <c r="B392">
        <v>3</v>
      </c>
      <c r="C392" t="s">
        <v>33</v>
      </c>
      <c r="D392" t="s">
        <v>4</v>
      </c>
      <c r="E392" s="8">
        <v>44252</v>
      </c>
      <c r="F392">
        <v>87</v>
      </c>
    </row>
    <row r="393" spans="1:6" x14ac:dyDescent="0.25">
      <c r="A393" t="s">
        <v>49</v>
      </c>
      <c r="B393">
        <v>3</v>
      </c>
      <c r="C393" t="s">
        <v>33</v>
      </c>
      <c r="D393" t="s">
        <v>4</v>
      </c>
      <c r="E393" s="8">
        <v>44256</v>
      </c>
      <c r="F393">
        <v>37</v>
      </c>
    </row>
    <row r="394" spans="1:6" x14ac:dyDescent="0.25">
      <c r="A394" t="s">
        <v>49</v>
      </c>
      <c r="B394">
        <v>3</v>
      </c>
      <c r="C394" t="s">
        <v>33</v>
      </c>
      <c r="D394" t="s">
        <v>4</v>
      </c>
      <c r="E394" s="8">
        <v>44257</v>
      </c>
      <c r="F394">
        <v>68</v>
      </c>
    </row>
    <row r="395" spans="1:6" x14ac:dyDescent="0.25">
      <c r="A395" t="s">
        <v>49</v>
      </c>
      <c r="B395">
        <v>3</v>
      </c>
      <c r="C395" t="s">
        <v>33</v>
      </c>
      <c r="D395" t="s">
        <v>4</v>
      </c>
      <c r="E395" s="8">
        <v>44258</v>
      </c>
      <c r="F395">
        <v>232</v>
      </c>
    </row>
    <row r="396" spans="1:6" x14ac:dyDescent="0.25">
      <c r="A396" t="s">
        <v>49</v>
      </c>
      <c r="B396">
        <v>3</v>
      </c>
      <c r="C396" t="s">
        <v>33</v>
      </c>
      <c r="D396" t="s">
        <v>4</v>
      </c>
      <c r="E396" s="8">
        <v>44259</v>
      </c>
      <c r="F396">
        <v>213</v>
      </c>
    </row>
    <row r="397" spans="1:6" x14ac:dyDescent="0.25">
      <c r="A397" t="s">
        <v>49</v>
      </c>
      <c r="B397">
        <v>3</v>
      </c>
      <c r="C397" t="s">
        <v>33</v>
      </c>
      <c r="D397" t="s">
        <v>4</v>
      </c>
      <c r="E397" s="8">
        <v>44260</v>
      </c>
      <c r="F397">
        <v>319</v>
      </c>
    </row>
    <row r="398" spans="1:6" x14ac:dyDescent="0.25">
      <c r="A398" t="s">
        <v>49</v>
      </c>
      <c r="B398">
        <v>3</v>
      </c>
      <c r="C398" t="s">
        <v>33</v>
      </c>
      <c r="D398" t="s">
        <v>4</v>
      </c>
      <c r="E398" s="8">
        <v>44261</v>
      </c>
      <c r="F398">
        <v>100</v>
      </c>
    </row>
    <row r="399" spans="1:6" x14ac:dyDescent="0.25">
      <c r="A399" t="s">
        <v>49</v>
      </c>
      <c r="B399">
        <v>3</v>
      </c>
      <c r="C399" t="s">
        <v>33</v>
      </c>
      <c r="D399" t="s">
        <v>4</v>
      </c>
      <c r="E399" s="8">
        <v>44262</v>
      </c>
      <c r="F399">
        <v>54</v>
      </c>
    </row>
    <row r="400" spans="1:6" x14ac:dyDescent="0.25">
      <c r="A400" t="s">
        <v>49</v>
      </c>
      <c r="B400">
        <v>3</v>
      </c>
      <c r="C400" t="s">
        <v>33</v>
      </c>
      <c r="D400" t="s">
        <v>4</v>
      </c>
      <c r="E400" s="8">
        <v>44263</v>
      </c>
      <c r="F400">
        <v>118</v>
      </c>
    </row>
    <row r="401" spans="1:6" x14ac:dyDescent="0.25">
      <c r="A401" t="s">
        <v>49</v>
      </c>
      <c r="B401">
        <v>3</v>
      </c>
      <c r="C401" t="s">
        <v>33</v>
      </c>
      <c r="D401" t="s">
        <v>4</v>
      </c>
      <c r="E401" s="8">
        <v>44264</v>
      </c>
      <c r="F401">
        <v>108</v>
      </c>
    </row>
    <row r="402" spans="1:6" x14ac:dyDescent="0.25">
      <c r="A402" t="s">
        <v>49</v>
      </c>
      <c r="B402">
        <v>3</v>
      </c>
      <c r="C402" t="s">
        <v>33</v>
      </c>
      <c r="D402" t="s">
        <v>4</v>
      </c>
      <c r="E402" s="8">
        <v>44265</v>
      </c>
      <c r="F402">
        <v>180</v>
      </c>
    </row>
    <row r="403" spans="1:6" x14ac:dyDescent="0.25">
      <c r="A403" t="s">
        <v>49</v>
      </c>
      <c r="B403">
        <v>3</v>
      </c>
      <c r="C403" t="s">
        <v>33</v>
      </c>
      <c r="D403" t="s">
        <v>4</v>
      </c>
      <c r="E403" s="8">
        <v>44269</v>
      </c>
      <c r="F403">
        <v>34</v>
      </c>
    </row>
    <row r="404" spans="1:6" x14ac:dyDescent="0.25">
      <c r="A404" t="s">
        <v>49</v>
      </c>
      <c r="B404">
        <v>3</v>
      </c>
      <c r="C404" t="s">
        <v>33</v>
      </c>
      <c r="D404" t="s">
        <v>4</v>
      </c>
      <c r="E404" s="8">
        <v>44277</v>
      </c>
      <c r="F404">
        <v>0</v>
      </c>
    </row>
    <row r="405" spans="1:6" x14ac:dyDescent="0.25">
      <c r="A405" t="s">
        <v>49</v>
      </c>
      <c r="B405">
        <v>3</v>
      </c>
      <c r="C405" t="s">
        <v>33</v>
      </c>
      <c r="D405" t="s">
        <v>4</v>
      </c>
      <c r="E405" s="8">
        <v>44302</v>
      </c>
      <c r="F405">
        <v>106</v>
      </c>
    </row>
    <row r="406" spans="1:6" x14ac:dyDescent="0.25">
      <c r="A406" t="s">
        <v>49</v>
      </c>
      <c r="B406">
        <v>3</v>
      </c>
      <c r="C406" t="s">
        <v>33</v>
      </c>
      <c r="D406" t="s">
        <v>4</v>
      </c>
      <c r="E406" s="8">
        <v>44303</v>
      </c>
      <c r="F406">
        <v>122</v>
      </c>
    </row>
    <row r="407" spans="1:6" x14ac:dyDescent="0.25">
      <c r="A407" t="s">
        <v>49</v>
      </c>
      <c r="B407">
        <v>3</v>
      </c>
      <c r="C407" t="s">
        <v>33</v>
      </c>
      <c r="D407" t="s">
        <v>4</v>
      </c>
      <c r="E407" s="8">
        <v>44304</v>
      </c>
      <c r="F407">
        <v>120</v>
      </c>
    </row>
    <row r="408" spans="1:6" x14ac:dyDescent="0.25">
      <c r="A408" t="s">
        <v>49</v>
      </c>
      <c r="B408">
        <v>3</v>
      </c>
      <c r="C408" t="s">
        <v>33</v>
      </c>
      <c r="D408" t="s">
        <v>4</v>
      </c>
      <c r="E408" s="8">
        <v>44305</v>
      </c>
      <c r="F408">
        <v>54</v>
      </c>
    </row>
    <row r="409" spans="1:6" x14ac:dyDescent="0.25">
      <c r="A409" t="s">
        <v>49</v>
      </c>
      <c r="B409">
        <v>3</v>
      </c>
      <c r="C409" t="s">
        <v>33</v>
      </c>
      <c r="D409" t="s">
        <v>4</v>
      </c>
      <c r="E409" s="8">
        <v>44367</v>
      </c>
      <c r="F409">
        <v>22</v>
      </c>
    </row>
    <row r="410" spans="1:6" x14ac:dyDescent="0.25">
      <c r="A410" t="s">
        <v>49</v>
      </c>
      <c r="B410">
        <v>3</v>
      </c>
      <c r="C410" t="s">
        <v>33</v>
      </c>
      <c r="D410" t="s">
        <v>4</v>
      </c>
      <c r="E410" s="8">
        <v>44368</v>
      </c>
      <c r="F410">
        <v>52</v>
      </c>
    </row>
    <row r="411" spans="1:6" x14ac:dyDescent="0.25">
      <c r="A411" t="s">
        <v>49</v>
      </c>
      <c r="B411">
        <v>3</v>
      </c>
      <c r="C411" t="s">
        <v>33</v>
      </c>
      <c r="D411" t="s">
        <v>4</v>
      </c>
      <c r="E411" s="8">
        <v>44369</v>
      </c>
      <c r="F411">
        <v>78</v>
      </c>
    </row>
    <row r="412" spans="1:6" x14ac:dyDescent="0.25">
      <c r="A412" t="s">
        <v>49</v>
      </c>
      <c r="B412">
        <v>3</v>
      </c>
      <c r="C412" t="s">
        <v>33</v>
      </c>
      <c r="D412" t="s">
        <v>4</v>
      </c>
      <c r="E412" s="8">
        <v>44370</v>
      </c>
      <c r="F412">
        <v>116</v>
      </c>
    </row>
    <row r="413" spans="1:6" x14ac:dyDescent="0.25">
      <c r="A413" t="s">
        <v>49</v>
      </c>
      <c r="B413">
        <v>3</v>
      </c>
      <c r="C413" t="s">
        <v>33</v>
      </c>
      <c r="D413" t="s">
        <v>4</v>
      </c>
      <c r="E413" s="8">
        <v>44371</v>
      </c>
      <c r="F413">
        <v>191</v>
      </c>
    </row>
    <row r="414" spans="1:6" x14ac:dyDescent="0.25">
      <c r="A414" t="s">
        <v>49</v>
      </c>
      <c r="B414">
        <v>3</v>
      </c>
      <c r="C414" t="s">
        <v>34</v>
      </c>
      <c r="D414" t="s">
        <v>5</v>
      </c>
      <c r="E414" s="8">
        <v>44025</v>
      </c>
      <c r="F414">
        <v>31</v>
      </c>
    </row>
    <row r="415" spans="1:6" x14ac:dyDescent="0.25">
      <c r="A415" t="s">
        <v>49</v>
      </c>
      <c r="B415">
        <v>3</v>
      </c>
      <c r="C415" t="s">
        <v>34</v>
      </c>
      <c r="D415" t="s">
        <v>5</v>
      </c>
      <c r="E415" s="8">
        <v>44026</v>
      </c>
      <c r="F415">
        <v>24</v>
      </c>
    </row>
    <row r="416" spans="1:6" x14ac:dyDescent="0.25">
      <c r="A416" t="s">
        <v>49</v>
      </c>
      <c r="B416">
        <v>3</v>
      </c>
      <c r="C416" t="s">
        <v>34</v>
      </c>
      <c r="D416" t="s">
        <v>5</v>
      </c>
      <c r="E416" s="8">
        <v>44027</v>
      </c>
      <c r="F416">
        <v>47</v>
      </c>
    </row>
    <row r="417" spans="1:6" x14ac:dyDescent="0.25">
      <c r="A417" t="s">
        <v>49</v>
      </c>
      <c r="B417">
        <v>3</v>
      </c>
      <c r="C417" t="s">
        <v>34</v>
      </c>
      <c r="D417" t="s">
        <v>5</v>
      </c>
      <c r="E417" s="8">
        <v>44028</v>
      </c>
      <c r="F417">
        <v>78</v>
      </c>
    </row>
    <row r="418" spans="1:6" x14ac:dyDescent="0.25">
      <c r="A418" t="s">
        <v>49</v>
      </c>
      <c r="B418">
        <v>3</v>
      </c>
      <c r="C418" t="s">
        <v>34</v>
      </c>
      <c r="D418" t="s">
        <v>5</v>
      </c>
      <c r="E418" s="8">
        <v>44030</v>
      </c>
      <c r="F418">
        <v>34</v>
      </c>
    </row>
    <row r="419" spans="1:6" x14ac:dyDescent="0.25">
      <c r="A419" t="s">
        <v>49</v>
      </c>
      <c r="B419">
        <v>3</v>
      </c>
      <c r="C419" t="s">
        <v>34</v>
      </c>
      <c r="D419" t="s">
        <v>5</v>
      </c>
      <c r="E419" s="8">
        <v>44034</v>
      </c>
      <c r="F419">
        <v>1</v>
      </c>
    </row>
    <row r="420" spans="1:6" x14ac:dyDescent="0.25">
      <c r="A420" t="s">
        <v>49</v>
      </c>
      <c r="B420">
        <v>3</v>
      </c>
      <c r="C420" t="s">
        <v>34</v>
      </c>
      <c r="D420" t="s">
        <v>5</v>
      </c>
      <c r="E420" s="8">
        <v>44035</v>
      </c>
      <c r="F420">
        <v>0</v>
      </c>
    </row>
    <row r="421" spans="1:6" x14ac:dyDescent="0.25">
      <c r="A421" t="s">
        <v>49</v>
      </c>
      <c r="B421">
        <v>3</v>
      </c>
      <c r="C421" t="s">
        <v>34</v>
      </c>
      <c r="D421" t="s">
        <v>5</v>
      </c>
      <c r="E421" s="8">
        <v>44037</v>
      </c>
      <c r="F421">
        <v>62</v>
      </c>
    </row>
    <row r="422" spans="1:6" x14ac:dyDescent="0.25">
      <c r="A422" t="s">
        <v>49</v>
      </c>
      <c r="B422">
        <v>3</v>
      </c>
      <c r="C422" t="s">
        <v>34</v>
      </c>
      <c r="D422" t="s">
        <v>5</v>
      </c>
      <c r="E422" s="8">
        <v>44043</v>
      </c>
      <c r="F422">
        <v>49</v>
      </c>
    </row>
    <row r="423" spans="1:6" x14ac:dyDescent="0.25">
      <c r="A423" t="s">
        <v>49</v>
      </c>
      <c r="B423">
        <v>3</v>
      </c>
      <c r="C423" t="s">
        <v>34</v>
      </c>
      <c r="D423" t="s">
        <v>5</v>
      </c>
      <c r="E423" s="8">
        <v>44044</v>
      </c>
      <c r="F423">
        <v>70</v>
      </c>
    </row>
    <row r="424" spans="1:6" x14ac:dyDescent="0.25">
      <c r="A424" t="s">
        <v>49</v>
      </c>
      <c r="B424">
        <v>3</v>
      </c>
      <c r="C424" t="s">
        <v>34</v>
      </c>
      <c r="D424" t="s">
        <v>5</v>
      </c>
      <c r="E424" s="8">
        <v>44140</v>
      </c>
      <c r="F424">
        <v>12</v>
      </c>
    </row>
    <row r="425" spans="1:6" x14ac:dyDescent="0.25">
      <c r="A425" t="s">
        <v>49</v>
      </c>
      <c r="B425">
        <v>3</v>
      </c>
      <c r="C425" t="s">
        <v>34</v>
      </c>
      <c r="D425" t="s">
        <v>4</v>
      </c>
      <c r="E425" s="8">
        <v>44029</v>
      </c>
      <c r="F425">
        <v>190</v>
      </c>
    </row>
    <row r="426" spans="1:6" x14ac:dyDescent="0.25">
      <c r="A426" t="s">
        <v>49</v>
      </c>
      <c r="B426">
        <v>3</v>
      </c>
      <c r="C426" t="s">
        <v>34</v>
      </c>
      <c r="D426" t="s">
        <v>4</v>
      </c>
      <c r="E426" s="8">
        <v>44031</v>
      </c>
      <c r="F426">
        <v>143</v>
      </c>
    </row>
    <row r="427" spans="1:6" x14ac:dyDescent="0.25">
      <c r="A427" t="s">
        <v>49</v>
      </c>
      <c r="B427">
        <v>3</v>
      </c>
      <c r="C427" t="s">
        <v>34</v>
      </c>
      <c r="D427" t="s">
        <v>4</v>
      </c>
      <c r="E427" s="8">
        <v>44032</v>
      </c>
      <c r="F427">
        <v>9</v>
      </c>
    </row>
    <row r="428" spans="1:6" x14ac:dyDescent="0.25">
      <c r="A428" t="s">
        <v>49</v>
      </c>
      <c r="B428">
        <v>3</v>
      </c>
      <c r="C428" t="s">
        <v>34</v>
      </c>
      <c r="D428" t="s">
        <v>4</v>
      </c>
      <c r="E428" s="8">
        <v>44033</v>
      </c>
      <c r="F428">
        <v>197</v>
      </c>
    </row>
    <row r="429" spans="1:6" x14ac:dyDescent="0.25">
      <c r="A429" t="s">
        <v>49</v>
      </c>
      <c r="B429">
        <v>3</v>
      </c>
      <c r="C429" t="s">
        <v>34</v>
      </c>
      <c r="D429" t="s">
        <v>4</v>
      </c>
      <c r="E429" s="8">
        <v>44034</v>
      </c>
      <c r="F429">
        <v>103</v>
      </c>
    </row>
    <row r="430" spans="1:6" x14ac:dyDescent="0.25">
      <c r="A430" t="s">
        <v>49</v>
      </c>
      <c r="B430">
        <v>3</v>
      </c>
      <c r="C430" t="s">
        <v>34</v>
      </c>
      <c r="D430" t="s">
        <v>4</v>
      </c>
      <c r="E430" s="8">
        <v>44035</v>
      </c>
      <c r="F430">
        <v>72</v>
      </c>
    </row>
    <row r="431" spans="1:6" x14ac:dyDescent="0.25">
      <c r="A431" t="s">
        <v>49</v>
      </c>
      <c r="B431">
        <v>3</v>
      </c>
      <c r="C431" t="s">
        <v>34</v>
      </c>
      <c r="D431" t="s">
        <v>4</v>
      </c>
      <c r="E431" s="8">
        <v>44036</v>
      </c>
      <c r="F431">
        <v>159</v>
      </c>
    </row>
    <row r="432" spans="1:6" x14ac:dyDescent="0.25">
      <c r="A432" t="s">
        <v>49</v>
      </c>
      <c r="B432">
        <v>3</v>
      </c>
      <c r="C432" t="s">
        <v>34</v>
      </c>
      <c r="D432" t="s">
        <v>4</v>
      </c>
      <c r="E432" s="8">
        <v>44041</v>
      </c>
      <c r="F432">
        <v>36</v>
      </c>
    </row>
    <row r="433" spans="1:6" x14ac:dyDescent="0.25">
      <c r="A433" t="s">
        <v>49</v>
      </c>
      <c r="B433">
        <v>3</v>
      </c>
      <c r="C433" t="s">
        <v>34</v>
      </c>
      <c r="D433" t="s">
        <v>4</v>
      </c>
      <c r="E433" s="8">
        <v>44042</v>
      </c>
      <c r="F433">
        <v>63</v>
      </c>
    </row>
    <row r="434" spans="1:6" x14ac:dyDescent="0.25">
      <c r="A434" t="s">
        <v>49</v>
      </c>
      <c r="B434">
        <v>3</v>
      </c>
      <c r="C434" t="s">
        <v>34</v>
      </c>
      <c r="D434" t="s">
        <v>4</v>
      </c>
      <c r="E434" s="8">
        <v>44043</v>
      </c>
      <c r="F434">
        <v>49</v>
      </c>
    </row>
    <row r="435" spans="1:6" x14ac:dyDescent="0.25">
      <c r="A435" t="s">
        <v>49</v>
      </c>
      <c r="B435">
        <v>3</v>
      </c>
      <c r="C435" t="s">
        <v>34</v>
      </c>
      <c r="D435" t="s">
        <v>4</v>
      </c>
      <c r="E435" s="8">
        <v>44046</v>
      </c>
      <c r="F435">
        <v>103</v>
      </c>
    </row>
    <row r="436" spans="1:6" x14ac:dyDescent="0.25">
      <c r="A436" t="s">
        <v>49</v>
      </c>
      <c r="B436">
        <v>3</v>
      </c>
      <c r="C436" t="s">
        <v>34</v>
      </c>
      <c r="D436" t="s">
        <v>4</v>
      </c>
      <c r="E436" s="8">
        <v>44047</v>
      </c>
      <c r="F436">
        <v>6</v>
      </c>
    </row>
    <row r="437" spans="1:6" x14ac:dyDescent="0.25">
      <c r="A437" t="s">
        <v>49</v>
      </c>
      <c r="B437">
        <v>3</v>
      </c>
      <c r="C437" t="s">
        <v>34</v>
      </c>
      <c r="D437" t="s">
        <v>4</v>
      </c>
      <c r="E437" s="8">
        <v>44136</v>
      </c>
      <c r="F437">
        <v>167</v>
      </c>
    </row>
    <row r="438" spans="1:6" x14ac:dyDescent="0.25">
      <c r="A438" t="s">
        <v>49</v>
      </c>
      <c r="B438">
        <v>3</v>
      </c>
      <c r="C438" t="s">
        <v>35</v>
      </c>
      <c r="D438" t="s">
        <v>4</v>
      </c>
      <c r="E438" s="8">
        <v>44292</v>
      </c>
      <c r="F438">
        <v>45</v>
      </c>
    </row>
    <row r="439" spans="1:6" x14ac:dyDescent="0.25">
      <c r="A439" t="s">
        <v>49</v>
      </c>
      <c r="B439">
        <v>3</v>
      </c>
      <c r="C439" t="s">
        <v>35</v>
      </c>
      <c r="D439" t="s">
        <v>4</v>
      </c>
      <c r="E439" s="8">
        <v>44293</v>
      </c>
      <c r="F439">
        <v>70</v>
      </c>
    </row>
    <row r="440" spans="1:6" x14ac:dyDescent="0.25">
      <c r="A440" t="s">
        <v>49</v>
      </c>
      <c r="B440">
        <v>3</v>
      </c>
      <c r="C440" t="s">
        <v>35</v>
      </c>
      <c r="D440" t="s">
        <v>4</v>
      </c>
      <c r="E440" s="8">
        <v>44294</v>
      </c>
      <c r="F440">
        <v>97</v>
      </c>
    </row>
    <row r="441" spans="1:6" x14ac:dyDescent="0.25">
      <c r="A441" t="s">
        <v>49</v>
      </c>
      <c r="B441">
        <v>3</v>
      </c>
      <c r="C441" t="s">
        <v>35</v>
      </c>
      <c r="D441" t="s">
        <v>4</v>
      </c>
      <c r="E441" s="8">
        <v>44295</v>
      </c>
      <c r="F441">
        <v>24</v>
      </c>
    </row>
    <row r="442" spans="1:6" x14ac:dyDescent="0.25">
      <c r="A442" t="s">
        <v>49</v>
      </c>
      <c r="B442">
        <v>3</v>
      </c>
      <c r="C442" t="s">
        <v>35</v>
      </c>
      <c r="D442" t="s">
        <v>4</v>
      </c>
      <c r="E442" s="8">
        <v>44296</v>
      </c>
      <c r="F442">
        <v>31</v>
      </c>
    </row>
    <row r="443" spans="1:6" x14ac:dyDescent="0.25">
      <c r="A443" t="s">
        <v>49</v>
      </c>
      <c r="B443">
        <v>3</v>
      </c>
      <c r="C443" t="s">
        <v>35</v>
      </c>
      <c r="D443" t="s">
        <v>4</v>
      </c>
      <c r="E443" s="8">
        <v>44297</v>
      </c>
      <c r="F443">
        <v>166</v>
      </c>
    </row>
    <row r="444" spans="1:6" x14ac:dyDescent="0.25">
      <c r="A444" t="s">
        <v>49</v>
      </c>
      <c r="B444">
        <v>3</v>
      </c>
      <c r="C444" t="s">
        <v>35</v>
      </c>
      <c r="D444" t="s">
        <v>4</v>
      </c>
      <c r="E444" s="8">
        <v>44299</v>
      </c>
      <c r="F444">
        <v>5</v>
      </c>
    </row>
    <row r="445" spans="1:6" x14ac:dyDescent="0.25">
      <c r="A445" t="s">
        <v>49</v>
      </c>
      <c r="B445">
        <v>3</v>
      </c>
      <c r="C445" t="s">
        <v>35</v>
      </c>
      <c r="D445" t="s">
        <v>4</v>
      </c>
      <c r="E445" s="8">
        <v>44300</v>
      </c>
      <c r="F445">
        <v>156</v>
      </c>
    </row>
    <row r="446" spans="1:6" x14ac:dyDescent="0.25">
      <c r="A446" t="s">
        <v>49</v>
      </c>
      <c r="B446">
        <v>3</v>
      </c>
      <c r="C446" t="s">
        <v>35</v>
      </c>
      <c r="D446" t="s">
        <v>4</v>
      </c>
      <c r="E446" s="8">
        <v>44301</v>
      </c>
      <c r="F446">
        <v>47</v>
      </c>
    </row>
    <row r="447" spans="1:6" x14ac:dyDescent="0.25">
      <c r="A447" t="s">
        <v>49</v>
      </c>
      <c r="B447">
        <v>3</v>
      </c>
      <c r="C447" t="s">
        <v>35</v>
      </c>
      <c r="D447" t="s">
        <v>4</v>
      </c>
      <c r="E447" s="8">
        <v>44302</v>
      </c>
      <c r="F447">
        <v>68</v>
      </c>
    </row>
    <row r="448" spans="1:6" x14ac:dyDescent="0.25">
      <c r="A448" t="s">
        <v>49</v>
      </c>
      <c r="B448">
        <v>3</v>
      </c>
      <c r="C448" t="s">
        <v>35</v>
      </c>
      <c r="D448" t="s">
        <v>4</v>
      </c>
      <c r="E448" s="8">
        <v>44406</v>
      </c>
      <c r="F448">
        <v>17</v>
      </c>
    </row>
    <row r="449" spans="1:6" x14ac:dyDescent="0.25">
      <c r="A449" t="s">
        <v>49</v>
      </c>
      <c r="B449">
        <v>3</v>
      </c>
      <c r="C449" t="s">
        <v>36</v>
      </c>
      <c r="D449" t="s">
        <v>5</v>
      </c>
      <c r="E449" s="8">
        <v>44047</v>
      </c>
      <c r="F449">
        <v>73</v>
      </c>
    </row>
    <row r="450" spans="1:6" x14ac:dyDescent="0.25">
      <c r="A450" t="s">
        <v>49</v>
      </c>
      <c r="B450">
        <v>3</v>
      </c>
      <c r="C450" t="s">
        <v>36</v>
      </c>
      <c r="D450" t="s">
        <v>5</v>
      </c>
      <c r="E450" s="8">
        <v>44062</v>
      </c>
      <c r="F450">
        <v>149</v>
      </c>
    </row>
    <row r="451" spans="1:6" x14ac:dyDescent="0.25">
      <c r="A451" t="s">
        <v>49</v>
      </c>
      <c r="B451">
        <v>3</v>
      </c>
      <c r="C451" t="s">
        <v>36</v>
      </c>
      <c r="D451" t="s">
        <v>5</v>
      </c>
      <c r="E451" s="8">
        <v>44063</v>
      </c>
      <c r="F451">
        <v>113</v>
      </c>
    </row>
    <row r="452" spans="1:6" x14ac:dyDescent="0.25">
      <c r="A452" t="s">
        <v>49</v>
      </c>
      <c r="B452">
        <v>3</v>
      </c>
      <c r="C452" t="s">
        <v>36</v>
      </c>
      <c r="D452" t="s">
        <v>5</v>
      </c>
      <c r="E452" s="8">
        <v>44064</v>
      </c>
      <c r="F452">
        <v>97</v>
      </c>
    </row>
    <row r="453" spans="1:6" x14ac:dyDescent="0.25">
      <c r="A453" t="s">
        <v>49</v>
      </c>
      <c r="B453">
        <v>3</v>
      </c>
      <c r="C453" t="s">
        <v>36</v>
      </c>
      <c r="D453" t="s">
        <v>5</v>
      </c>
      <c r="E453" s="8">
        <v>44065</v>
      </c>
      <c r="F453">
        <v>43</v>
      </c>
    </row>
    <row r="454" spans="1:6" x14ac:dyDescent="0.25">
      <c r="A454" t="s">
        <v>49</v>
      </c>
      <c r="B454">
        <v>3</v>
      </c>
      <c r="C454" t="s">
        <v>36</v>
      </c>
      <c r="D454" t="s">
        <v>5</v>
      </c>
      <c r="E454" s="8">
        <v>44066</v>
      </c>
      <c r="F454">
        <v>99</v>
      </c>
    </row>
    <row r="455" spans="1:6" x14ac:dyDescent="0.25">
      <c r="A455" t="s">
        <v>49</v>
      </c>
      <c r="B455">
        <v>3</v>
      </c>
      <c r="C455" t="s">
        <v>36</v>
      </c>
      <c r="D455" t="s">
        <v>5</v>
      </c>
      <c r="E455" s="8">
        <v>44067</v>
      </c>
      <c r="F455">
        <v>34</v>
      </c>
    </row>
    <row r="456" spans="1:6" x14ac:dyDescent="0.25">
      <c r="A456" t="s">
        <v>49</v>
      </c>
      <c r="B456">
        <v>3</v>
      </c>
      <c r="C456" t="s">
        <v>36</v>
      </c>
      <c r="D456" t="s">
        <v>5</v>
      </c>
      <c r="E456" s="8">
        <v>44068</v>
      </c>
      <c r="F456">
        <v>32</v>
      </c>
    </row>
    <row r="457" spans="1:6" x14ac:dyDescent="0.25">
      <c r="A457" t="s">
        <v>49</v>
      </c>
      <c r="B457">
        <v>3</v>
      </c>
      <c r="C457" t="s">
        <v>36</v>
      </c>
      <c r="D457" t="s">
        <v>5</v>
      </c>
      <c r="E457" s="8">
        <v>44069</v>
      </c>
      <c r="F457">
        <v>164</v>
      </c>
    </row>
    <row r="458" spans="1:6" x14ac:dyDescent="0.25">
      <c r="A458" t="s">
        <v>49</v>
      </c>
      <c r="B458">
        <v>3</v>
      </c>
      <c r="C458" t="s">
        <v>36</v>
      </c>
      <c r="D458" t="s">
        <v>5</v>
      </c>
      <c r="E458" s="8">
        <v>44070</v>
      </c>
      <c r="F458">
        <v>169</v>
      </c>
    </row>
    <row r="459" spans="1:6" x14ac:dyDescent="0.25">
      <c r="A459" t="s">
        <v>49</v>
      </c>
      <c r="B459">
        <v>3</v>
      </c>
      <c r="C459" t="s">
        <v>36</v>
      </c>
      <c r="D459" t="s">
        <v>5</v>
      </c>
      <c r="E459" s="8">
        <v>44071</v>
      </c>
      <c r="F459">
        <v>92</v>
      </c>
    </row>
    <row r="460" spans="1:6" x14ac:dyDescent="0.25">
      <c r="A460" t="s">
        <v>49</v>
      </c>
      <c r="B460">
        <v>3</v>
      </c>
      <c r="C460" t="s">
        <v>36</v>
      </c>
      <c r="D460" t="s">
        <v>5</v>
      </c>
      <c r="E460" s="8">
        <v>44072</v>
      </c>
      <c r="F460">
        <v>36</v>
      </c>
    </row>
    <row r="461" spans="1:6" x14ac:dyDescent="0.25">
      <c r="A461" t="s">
        <v>49</v>
      </c>
      <c r="B461">
        <v>3</v>
      </c>
      <c r="C461" t="s">
        <v>36</v>
      </c>
      <c r="D461" t="s">
        <v>5</v>
      </c>
      <c r="E461" s="8">
        <v>44074</v>
      </c>
      <c r="F461">
        <v>251</v>
      </c>
    </row>
    <row r="462" spans="1:6" x14ac:dyDescent="0.25">
      <c r="A462" t="s">
        <v>49</v>
      </c>
      <c r="B462">
        <v>3</v>
      </c>
      <c r="C462" t="s">
        <v>36</v>
      </c>
      <c r="D462" t="s">
        <v>5</v>
      </c>
      <c r="E462" s="8">
        <v>44075</v>
      </c>
      <c r="F462">
        <v>175</v>
      </c>
    </row>
    <row r="463" spans="1:6" x14ac:dyDescent="0.25">
      <c r="A463" t="s">
        <v>49</v>
      </c>
      <c r="B463">
        <v>3</v>
      </c>
      <c r="C463" t="s">
        <v>36</v>
      </c>
      <c r="D463" t="s">
        <v>5</v>
      </c>
      <c r="E463" s="8">
        <v>44076</v>
      </c>
      <c r="F463">
        <v>2</v>
      </c>
    </row>
    <row r="464" spans="1:6" x14ac:dyDescent="0.25">
      <c r="A464" t="s">
        <v>49</v>
      </c>
      <c r="B464">
        <v>3</v>
      </c>
      <c r="C464" t="s">
        <v>36</v>
      </c>
      <c r="D464" t="s">
        <v>5</v>
      </c>
      <c r="E464" s="8">
        <v>44078</v>
      </c>
      <c r="F464">
        <v>72</v>
      </c>
    </row>
    <row r="465" spans="1:6" x14ac:dyDescent="0.25">
      <c r="A465" t="s">
        <v>49</v>
      </c>
      <c r="B465">
        <v>3</v>
      </c>
      <c r="C465" t="s">
        <v>36</v>
      </c>
      <c r="D465" t="s">
        <v>5</v>
      </c>
      <c r="E465" s="8">
        <v>44079</v>
      </c>
      <c r="F465">
        <v>91</v>
      </c>
    </row>
    <row r="466" spans="1:6" x14ac:dyDescent="0.25">
      <c r="A466" t="s">
        <v>49</v>
      </c>
      <c r="B466">
        <v>3</v>
      </c>
      <c r="C466" t="s">
        <v>36</v>
      </c>
      <c r="D466" t="s">
        <v>5</v>
      </c>
      <c r="E466" s="8">
        <v>44081</v>
      </c>
      <c r="F466">
        <v>220</v>
      </c>
    </row>
    <row r="467" spans="1:6" x14ac:dyDescent="0.25">
      <c r="A467" t="s">
        <v>49</v>
      </c>
      <c r="B467">
        <v>3</v>
      </c>
      <c r="C467" t="s">
        <v>36</v>
      </c>
      <c r="D467" t="s">
        <v>5</v>
      </c>
      <c r="E467" s="8">
        <v>44082</v>
      </c>
      <c r="F467">
        <v>117</v>
      </c>
    </row>
    <row r="468" spans="1:6" x14ac:dyDescent="0.25">
      <c r="A468" t="s">
        <v>49</v>
      </c>
      <c r="B468">
        <v>3</v>
      </c>
      <c r="C468" t="s">
        <v>36</v>
      </c>
      <c r="D468" t="s">
        <v>5</v>
      </c>
      <c r="E468" s="8">
        <v>44083</v>
      </c>
      <c r="F468">
        <v>181</v>
      </c>
    </row>
    <row r="469" spans="1:6" x14ac:dyDescent="0.25">
      <c r="A469" t="s">
        <v>49</v>
      </c>
      <c r="B469">
        <v>3</v>
      </c>
      <c r="C469" t="s">
        <v>36</v>
      </c>
      <c r="D469" t="s">
        <v>5</v>
      </c>
      <c r="E469" s="8">
        <v>44084</v>
      </c>
      <c r="F469">
        <v>55</v>
      </c>
    </row>
    <row r="470" spans="1:6" x14ac:dyDescent="0.25">
      <c r="A470" t="s">
        <v>49</v>
      </c>
      <c r="B470">
        <v>3</v>
      </c>
      <c r="C470" t="s">
        <v>36</v>
      </c>
      <c r="D470" t="s">
        <v>5</v>
      </c>
      <c r="E470" s="8">
        <v>44085</v>
      </c>
      <c r="F470">
        <v>0</v>
      </c>
    </row>
    <row r="471" spans="1:6" x14ac:dyDescent="0.25">
      <c r="A471" t="s">
        <v>49</v>
      </c>
      <c r="B471">
        <v>3</v>
      </c>
      <c r="C471" t="s">
        <v>36</v>
      </c>
      <c r="D471" t="s">
        <v>5</v>
      </c>
      <c r="E471" s="8">
        <v>44088</v>
      </c>
      <c r="F471">
        <v>221</v>
      </c>
    </row>
    <row r="472" spans="1:6" x14ac:dyDescent="0.25">
      <c r="A472" t="s">
        <v>49</v>
      </c>
      <c r="B472">
        <v>3</v>
      </c>
      <c r="C472" t="s">
        <v>36</v>
      </c>
      <c r="D472" t="s">
        <v>5</v>
      </c>
      <c r="E472" s="8">
        <v>44089</v>
      </c>
      <c r="F472">
        <v>4</v>
      </c>
    </row>
    <row r="473" spans="1:6" x14ac:dyDescent="0.25">
      <c r="A473" t="s">
        <v>49</v>
      </c>
      <c r="B473">
        <v>3</v>
      </c>
      <c r="C473" t="s">
        <v>36</v>
      </c>
      <c r="D473" t="s">
        <v>5</v>
      </c>
      <c r="E473" s="8">
        <v>44090</v>
      </c>
      <c r="F473">
        <v>33</v>
      </c>
    </row>
    <row r="474" spans="1:6" x14ac:dyDescent="0.25">
      <c r="A474" t="s">
        <v>49</v>
      </c>
      <c r="B474">
        <v>3</v>
      </c>
      <c r="C474" t="s">
        <v>36</v>
      </c>
      <c r="D474" t="s">
        <v>5</v>
      </c>
      <c r="E474" s="8">
        <v>44091</v>
      </c>
      <c r="F474">
        <v>187</v>
      </c>
    </row>
    <row r="475" spans="1:6" x14ac:dyDescent="0.25">
      <c r="A475" t="s">
        <v>49</v>
      </c>
      <c r="B475">
        <v>3</v>
      </c>
      <c r="C475" t="s">
        <v>36</v>
      </c>
      <c r="D475" t="s">
        <v>5</v>
      </c>
      <c r="E475" s="8">
        <v>44092</v>
      </c>
      <c r="F475">
        <v>87</v>
      </c>
    </row>
    <row r="476" spans="1:6" x14ac:dyDescent="0.25">
      <c r="A476" t="s">
        <v>49</v>
      </c>
      <c r="B476">
        <v>3</v>
      </c>
      <c r="C476" t="s">
        <v>36</v>
      </c>
      <c r="D476" t="s">
        <v>5</v>
      </c>
      <c r="E476" s="8">
        <v>44093</v>
      </c>
      <c r="F476">
        <v>13</v>
      </c>
    </row>
    <row r="477" spans="1:6" x14ac:dyDescent="0.25">
      <c r="A477" t="s">
        <v>49</v>
      </c>
      <c r="B477">
        <v>3</v>
      </c>
      <c r="C477" t="s">
        <v>36</v>
      </c>
      <c r="D477" t="s">
        <v>5</v>
      </c>
      <c r="E477" s="8">
        <v>44095</v>
      </c>
      <c r="F477">
        <v>1</v>
      </c>
    </row>
    <row r="478" spans="1:6" x14ac:dyDescent="0.25">
      <c r="A478" t="s">
        <v>49</v>
      </c>
      <c r="B478">
        <v>3</v>
      </c>
      <c r="C478" t="s">
        <v>36</v>
      </c>
      <c r="D478" t="s">
        <v>5</v>
      </c>
      <c r="E478" s="8">
        <v>44096</v>
      </c>
      <c r="F478">
        <v>68</v>
      </c>
    </row>
    <row r="479" spans="1:6" x14ac:dyDescent="0.25">
      <c r="A479" t="s">
        <v>49</v>
      </c>
      <c r="B479">
        <v>3</v>
      </c>
      <c r="C479" t="s">
        <v>36</v>
      </c>
      <c r="D479" t="s">
        <v>5</v>
      </c>
      <c r="E479" s="8">
        <v>44097</v>
      </c>
      <c r="F479">
        <v>44</v>
      </c>
    </row>
    <row r="480" spans="1:6" x14ac:dyDescent="0.25">
      <c r="A480" t="s">
        <v>49</v>
      </c>
      <c r="B480">
        <v>3</v>
      </c>
      <c r="C480" t="s">
        <v>36</v>
      </c>
      <c r="D480" t="s">
        <v>5</v>
      </c>
      <c r="E480" s="8">
        <v>44098</v>
      </c>
      <c r="F480">
        <v>100</v>
      </c>
    </row>
    <row r="481" spans="1:6" x14ac:dyDescent="0.25">
      <c r="A481" t="s">
        <v>49</v>
      </c>
      <c r="B481">
        <v>3</v>
      </c>
      <c r="C481" t="s">
        <v>36</v>
      </c>
      <c r="D481" t="s">
        <v>5</v>
      </c>
      <c r="E481" s="8">
        <v>44099</v>
      </c>
      <c r="F481">
        <v>114</v>
      </c>
    </row>
    <row r="482" spans="1:6" x14ac:dyDescent="0.25">
      <c r="A482" t="s">
        <v>49</v>
      </c>
      <c r="B482">
        <v>3</v>
      </c>
      <c r="C482" t="s">
        <v>36</v>
      </c>
      <c r="D482" t="s">
        <v>5</v>
      </c>
      <c r="E482" s="8">
        <v>44100</v>
      </c>
      <c r="F482">
        <v>75</v>
      </c>
    </row>
    <row r="483" spans="1:6" x14ac:dyDescent="0.25">
      <c r="A483" t="s">
        <v>49</v>
      </c>
      <c r="B483">
        <v>3</v>
      </c>
      <c r="C483" t="s">
        <v>36</v>
      </c>
      <c r="D483" t="s">
        <v>5</v>
      </c>
      <c r="E483" s="8">
        <v>44102</v>
      </c>
      <c r="F483">
        <v>122</v>
      </c>
    </row>
    <row r="484" spans="1:6" x14ac:dyDescent="0.25">
      <c r="A484" t="s">
        <v>49</v>
      </c>
      <c r="B484">
        <v>3</v>
      </c>
      <c r="C484" t="s">
        <v>36</v>
      </c>
      <c r="D484" t="s">
        <v>5</v>
      </c>
      <c r="E484" s="8">
        <v>44103</v>
      </c>
      <c r="F484">
        <v>205</v>
      </c>
    </row>
    <row r="485" spans="1:6" x14ac:dyDescent="0.25">
      <c r="A485" t="s">
        <v>49</v>
      </c>
      <c r="B485">
        <v>3</v>
      </c>
      <c r="C485" t="s">
        <v>36</v>
      </c>
      <c r="D485" t="s">
        <v>5</v>
      </c>
      <c r="E485" s="8">
        <v>44104</v>
      </c>
      <c r="F485">
        <v>132</v>
      </c>
    </row>
    <row r="486" spans="1:6" x14ac:dyDescent="0.25">
      <c r="A486" t="s">
        <v>49</v>
      </c>
      <c r="B486">
        <v>3</v>
      </c>
      <c r="C486" t="s">
        <v>36</v>
      </c>
      <c r="D486" t="s">
        <v>5</v>
      </c>
      <c r="E486" s="8">
        <v>44109</v>
      </c>
      <c r="F486">
        <v>123</v>
      </c>
    </row>
    <row r="487" spans="1:6" x14ac:dyDescent="0.25">
      <c r="A487" t="s">
        <v>49</v>
      </c>
      <c r="B487">
        <v>3</v>
      </c>
      <c r="C487" t="s">
        <v>36</v>
      </c>
      <c r="D487" t="s">
        <v>5</v>
      </c>
      <c r="E487" s="8">
        <v>44110</v>
      </c>
      <c r="F487">
        <v>143</v>
      </c>
    </row>
    <row r="488" spans="1:6" x14ac:dyDescent="0.25">
      <c r="A488" t="s">
        <v>49</v>
      </c>
      <c r="B488">
        <v>3</v>
      </c>
      <c r="C488" t="s">
        <v>36</v>
      </c>
      <c r="D488" t="s">
        <v>5</v>
      </c>
      <c r="E488" s="8">
        <v>44111</v>
      </c>
      <c r="F488">
        <v>19</v>
      </c>
    </row>
    <row r="489" spans="1:6" x14ac:dyDescent="0.25">
      <c r="A489" t="s">
        <v>49</v>
      </c>
      <c r="B489">
        <v>3</v>
      </c>
      <c r="C489" t="s">
        <v>36</v>
      </c>
      <c r="D489" t="s">
        <v>5</v>
      </c>
      <c r="E489" s="8">
        <v>44112</v>
      </c>
      <c r="F489">
        <v>220</v>
      </c>
    </row>
    <row r="490" spans="1:6" x14ac:dyDescent="0.25">
      <c r="A490" t="s">
        <v>49</v>
      </c>
      <c r="B490">
        <v>3</v>
      </c>
      <c r="C490" t="s">
        <v>36</v>
      </c>
      <c r="D490" t="s">
        <v>5</v>
      </c>
      <c r="E490" s="8">
        <v>44113</v>
      </c>
      <c r="F490">
        <v>155</v>
      </c>
    </row>
    <row r="491" spans="1:6" x14ac:dyDescent="0.25">
      <c r="A491" t="s">
        <v>49</v>
      </c>
      <c r="B491">
        <v>3</v>
      </c>
      <c r="C491" t="s">
        <v>36</v>
      </c>
      <c r="D491" t="s">
        <v>5</v>
      </c>
      <c r="E491" s="8">
        <v>44114</v>
      </c>
      <c r="F491">
        <v>74</v>
      </c>
    </row>
    <row r="492" spans="1:6" x14ac:dyDescent="0.25">
      <c r="A492" t="s">
        <v>49</v>
      </c>
      <c r="B492">
        <v>3</v>
      </c>
      <c r="C492" t="s">
        <v>36</v>
      </c>
      <c r="D492" t="s">
        <v>5</v>
      </c>
      <c r="E492" s="8">
        <v>44115</v>
      </c>
      <c r="F492">
        <v>158</v>
      </c>
    </row>
    <row r="493" spans="1:6" x14ac:dyDescent="0.25">
      <c r="A493" t="s">
        <v>49</v>
      </c>
      <c r="B493">
        <v>3</v>
      </c>
      <c r="C493" t="s">
        <v>36</v>
      </c>
      <c r="D493" t="s">
        <v>5</v>
      </c>
      <c r="E493" s="8">
        <v>44116</v>
      </c>
      <c r="F493">
        <v>28</v>
      </c>
    </row>
    <row r="494" spans="1:6" x14ac:dyDescent="0.25">
      <c r="A494" t="s">
        <v>49</v>
      </c>
      <c r="B494">
        <v>3</v>
      </c>
      <c r="C494" t="s">
        <v>36</v>
      </c>
      <c r="D494" t="s">
        <v>5</v>
      </c>
      <c r="E494" s="8">
        <v>44120</v>
      </c>
      <c r="F494">
        <v>74</v>
      </c>
    </row>
    <row r="495" spans="1:6" x14ac:dyDescent="0.25">
      <c r="A495" t="s">
        <v>49</v>
      </c>
      <c r="B495">
        <v>3</v>
      </c>
      <c r="C495" t="s">
        <v>36</v>
      </c>
      <c r="D495" t="s">
        <v>5</v>
      </c>
      <c r="E495" s="8">
        <v>44133</v>
      </c>
      <c r="F495">
        <v>50</v>
      </c>
    </row>
    <row r="496" spans="1:6" x14ac:dyDescent="0.25">
      <c r="A496" t="s">
        <v>49</v>
      </c>
      <c r="B496">
        <v>3</v>
      </c>
      <c r="C496" t="s">
        <v>36</v>
      </c>
      <c r="D496" t="s">
        <v>5</v>
      </c>
      <c r="E496" s="8">
        <v>44134</v>
      </c>
      <c r="F496">
        <v>14</v>
      </c>
    </row>
    <row r="497" spans="1:6" x14ac:dyDescent="0.25">
      <c r="A497" t="s">
        <v>49</v>
      </c>
      <c r="B497">
        <v>3</v>
      </c>
      <c r="C497" t="s">
        <v>37</v>
      </c>
      <c r="D497" t="s">
        <v>5</v>
      </c>
      <c r="E497" s="8">
        <v>44036</v>
      </c>
      <c r="F497">
        <v>3</v>
      </c>
    </row>
    <row r="498" spans="1:6" x14ac:dyDescent="0.25">
      <c r="A498" t="s">
        <v>49</v>
      </c>
      <c r="B498">
        <v>3</v>
      </c>
      <c r="C498" t="s">
        <v>37</v>
      </c>
      <c r="D498" t="s">
        <v>5</v>
      </c>
      <c r="E498" s="8">
        <v>44046</v>
      </c>
      <c r="F498">
        <v>10</v>
      </c>
    </row>
    <row r="499" spans="1:6" x14ac:dyDescent="0.25">
      <c r="A499" t="s">
        <v>49</v>
      </c>
      <c r="B499">
        <v>3</v>
      </c>
      <c r="C499" t="s">
        <v>37</v>
      </c>
      <c r="D499" t="s">
        <v>5</v>
      </c>
      <c r="E499" s="8">
        <v>44047</v>
      </c>
      <c r="F499">
        <v>65</v>
      </c>
    </row>
    <row r="500" spans="1:6" x14ac:dyDescent="0.25">
      <c r="A500" t="s">
        <v>49</v>
      </c>
      <c r="B500">
        <v>3</v>
      </c>
      <c r="C500" t="s">
        <v>37</v>
      </c>
      <c r="D500" t="s">
        <v>5</v>
      </c>
      <c r="E500" s="8">
        <v>44049</v>
      </c>
      <c r="F500">
        <v>0</v>
      </c>
    </row>
    <row r="501" spans="1:6" x14ac:dyDescent="0.25">
      <c r="A501" t="s">
        <v>49</v>
      </c>
      <c r="B501">
        <v>3</v>
      </c>
      <c r="C501" t="s">
        <v>37</v>
      </c>
      <c r="D501" t="s">
        <v>5</v>
      </c>
      <c r="E501" s="8">
        <v>44050</v>
      </c>
      <c r="F501">
        <v>39</v>
      </c>
    </row>
    <row r="502" spans="1:6" x14ac:dyDescent="0.25">
      <c r="A502" t="s">
        <v>49</v>
      </c>
      <c r="B502">
        <v>3</v>
      </c>
      <c r="C502" t="s">
        <v>37</v>
      </c>
      <c r="D502" t="s">
        <v>5</v>
      </c>
      <c r="E502" s="8">
        <v>44056</v>
      </c>
      <c r="F502">
        <v>92</v>
      </c>
    </row>
    <row r="503" spans="1:6" x14ac:dyDescent="0.25">
      <c r="A503" t="s">
        <v>49</v>
      </c>
      <c r="B503">
        <v>3</v>
      </c>
      <c r="C503" t="s">
        <v>37</v>
      </c>
      <c r="D503" t="s">
        <v>5</v>
      </c>
      <c r="E503" s="8">
        <v>44058</v>
      </c>
      <c r="F503">
        <v>68</v>
      </c>
    </row>
    <row r="504" spans="1:6" x14ac:dyDescent="0.25">
      <c r="A504" t="s">
        <v>49</v>
      </c>
      <c r="B504">
        <v>3</v>
      </c>
      <c r="C504" t="s">
        <v>37</v>
      </c>
      <c r="D504" t="s">
        <v>5</v>
      </c>
      <c r="E504" s="8">
        <v>44059</v>
      </c>
      <c r="F504">
        <v>42</v>
      </c>
    </row>
    <row r="505" spans="1:6" x14ac:dyDescent="0.25">
      <c r="A505" t="s">
        <v>49</v>
      </c>
      <c r="B505">
        <v>3</v>
      </c>
      <c r="C505" t="s">
        <v>37</v>
      </c>
      <c r="D505" t="s">
        <v>5</v>
      </c>
      <c r="E505" s="8">
        <v>44060</v>
      </c>
      <c r="F505">
        <v>87</v>
      </c>
    </row>
    <row r="506" spans="1:6" x14ac:dyDescent="0.25">
      <c r="A506" t="s">
        <v>49</v>
      </c>
      <c r="B506">
        <v>3</v>
      </c>
      <c r="C506" t="s">
        <v>37</v>
      </c>
      <c r="D506" t="s">
        <v>5</v>
      </c>
      <c r="E506" s="8">
        <v>44061</v>
      </c>
      <c r="F506">
        <v>48</v>
      </c>
    </row>
    <row r="507" spans="1:6" x14ac:dyDescent="0.25">
      <c r="A507" t="s">
        <v>49</v>
      </c>
      <c r="B507">
        <v>3</v>
      </c>
      <c r="C507" t="s">
        <v>37</v>
      </c>
      <c r="D507" t="s">
        <v>5</v>
      </c>
      <c r="E507" s="8">
        <v>44121</v>
      </c>
      <c r="F507">
        <v>37</v>
      </c>
    </row>
    <row r="508" spans="1:6" x14ac:dyDescent="0.25">
      <c r="A508" t="s">
        <v>49</v>
      </c>
      <c r="B508">
        <v>3</v>
      </c>
      <c r="C508" t="s">
        <v>37</v>
      </c>
      <c r="D508" t="s">
        <v>5</v>
      </c>
      <c r="E508" s="8">
        <v>44123</v>
      </c>
      <c r="F508">
        <v>221</v>
      </c>
    </row>
    <row r="509" spans="1:6" x14ac:dyDescent="0.25">
      <c r="A509" t="s">
        <v>49</v>
      </c>
      <c r="B509">
        <v>3</v>
      </c>
      <c r="C509" t="s">
        <v>37</v>
      </c>
      <c r="D509" t="s">
        <v>5</v>
      </c>
      <c r="E509" s="8">
        <v>44124</v>
      </c>
      <c r="F509">
        <v>59</v>
      </c>
    </row>
    <row r="510" spans="1:6" x14ac:dyDescent="0.25">
      <c r="A510" t="s">
        <v>49</v>
      </c>
      <c r="B510">
        <v>3</v>
      </c>
      <c r="C510" t="s">
        <v>37</v>
      </c>
      <c r="D510" t="s">
        <v>5</v>
      </c>
      <c r="E510" s="8">
        <v>44125</v>
      </c>
      <c r="F510">
        <v>40</v>
      </c>
    </row>
    <row r="511" spans="1:6" x14ac:dyDescent="0.25">
      <c r="A511" t="s">
        <v>49</v>
      </c>
      <c r="B511">
        <v>3</v>
      </c>
      <c r="C511" t="s">
        <v>37</v>
      </c>
      <c r="D511" t="s">
        <v>5</v>
      </c>
      <c r="E511" s="8">
        <v>44126</v>
      </c>
      <c r="F511">
        <v>10</v>
      </c>
    </row>
    <row r="512" spans="1:6" x14ac:dyDescent="0.25">
      <c r="A512" t="s">
        <v>49</v>
      </c>
      <c r="B512">
        <v>3</v>
      </c>
      <c r="C512" t="s">
        <v>37</v>
      </c>
      <c r="D512" t="s">
        <v>5</v>
      </c>
      <c r="E512" s="8">
        <v>44127</v>
      </c>
      <c r="F512">
        <v>12</v>
      </c>
    </row>
    <row r="513" spans="1:6" x14ac:dyDescent="0.25">
      <c r="A513" t="s">
        <v>49</v>
      </c>
      <c r="B513">
        <v>3</v>
      </c>
      <c r="C513" t="s">
        <v>37</v>
      </c>
      <c r="D513" t="s">
        <v>5</v>
      </c>
      <c r="E513" s="8">
        <v>44129</v>
      </c>
      <c r="F513">
        <v>87</v>
      </c>
    </row>
    <row r="514" spans="1:6" x14ac:dyDescent="0.25">
      <c r="A514" t="s">
        <v>49</v>
      </c>
      <c r="B514">
        <v>3</v>
      </c>
      <c r="C514" t="s">
        <v>37</v>
      </c>
      <c r="D514" t="s">
        <v>5</v>
      </c>
      <c r="E514" s="8">
        <v>44130</v>
      </c>
      <c r="F514">
        <v>161</v>
      </c>
    </row>
    <row r="515" spans="1:6" x14ac:dyDescent="0.25">
      <c r="A515" t="s">
        <v>49</v>
      </c>
      <c r="B515">
        <v>3</v>
      </c>
      <c r="C515" t="s">
        <v>37</v>
      </c>
      <c r="D515" t="s">
        <v>5</v>
      </c>
      <c r="E515" s="8">
        <v>44131</v>
      </c>
      <c r="F515">
        <v>196</v>
      </c>
    </row>
    <row r="516" spans="1:6" x14ac:dyDescent="0.25">
      <c r="A516" t="s">
        <v>49</v>
      </c>
      <c r="B516">
        <v>3</v>
      </c>
      <c r="C516" t="s">
        <v>37</v>
      </c>
      <c r="D516" t="s">
        <v>5</v>
      </c>
      <c r="E516" s="8">
        <v>44132</v>
      </c>
      <c r="F516">
        <v>57</v>
      </c>
    </row>
    <row r="517" spans="1:6" x14ac:dyDescent="0.25">
      <c r="A517" t="s">
        <v>49</v>
      </c>
      <c r="B517">
        <v>3</v>
      </c>
      <c r="C517" t="s">
        <v>37</v>
      </c>
      <c r="D517" t="s">
        <v>5</v>
      </c>
      <c r="E517" s="8">
        <v>44138</v>
      </c>
      <c r="F517">
        <v>253</v>
      </c>
    </row>
    <row r="518" spans="1:6" x14ac:dyDescent="0.25">
      <c r="A518" t="s">
        <v>49</v>
      </c>
      <c r="B518">
        <v>3</v>
      </c>
      <c r="C518" t="s">
        <v>37</v>
      </c>
      <c r="D518" t="s">
        <v>5</v>
      </c>
      <c r="E518" s="8">
        <v>44139</v>
      </c>
      <c r="F518">
        <v>48</v>
      </c>
    </row>
    <row r="519" spans="1:6" x14ac:dyDescent="0.25">
      <c r="A519" t="s">
        <v>49</v>
      </c>
      <c r="B519">
        <v>3</v>
      </c>
      <c r="C519" t="s">
        <v>38</v>
      </c>
      <c r="D519" t="s">
        <v>4</v>
      </c>
      <c r="E519" s="8">
        <v>44141</v>
      </c>
      <c r="F519">
        <v>3</v>
      </c>
    </row>
    <row r="520" spans="1:6" x14ac:dyDescent="0.25">
      <c r="A520" t="s">
        <v>49</v>
      </c>
      <c r="B520">
        <v>3</v>
      </c>
      <c r="C520" t="s">
        <v>38</v>
      </c>
      <c r="D520" t="s">
        <v>4</v>
      </c>
      <c r="E520" s="8">
        <v>44142</v>
      </c>
      <c r="F520">
        <v>6</v>
      </c>
    </row>
    <row r="521" spans="1:6" x14ac:dyDescent="0.25">
      <c r="A521" t="s">
        <v>49</v>
      </c>
      <c r="B521">
        <v>3</v>
      </c>
      <c r="C521" t="s">
        <v>38</v>
      </c>
      <c r="D521" t="s">
        <v>4</v>
      </c>
      <c r="E521" s="8">
        <v>44281</v>
      </c>
      <c r="F521">
        <v>20</v>
      </c>
    </row>
    <row r="522" spans="1:6" x14ac:dyDescent="0.25">
      <c r="A522" t="s">
        <v>49</v>
      </c>
      <c r="B522">
        <v>3</v>
      </c>
      <c r="C522" t="s">
        <v>38</v>
      </c>
      <c r="D522" t="s">
        <v>4</v>
      </c>
      <c r="E522" s="8">
        <v>44282</v>
      </c>
      <c r="F522">
        <v>27</v>
      </c>
    </row>
    <row r="523" spans="1:6" x14ac:dyDescent="0.25">
      <c r="A523" t="s">
        <v>49</v>
      </c>
      <c r="B523">
        <v>3</v>
      </c>
      <c r="C523" t="s">
        <v>38</v>
      </c>
      <c r="D523" t="s">
        <v>4</v>
      </c>
      <c r="E523" s="8">
        <v>44290</v>
      </c>
      <c r="F523">
        <v>52</v>
      </c>
    </row>
    <row r="524" spans="1:6" x14ac:dyDescent="0.25">
      <c r="A524" t="s">
        <v>49</v>
      </c>
      <c r="B524">
        <v>3</v>
      </c>
      <c r="C524" t="s">
        <v>38</v>
      </c>
      <c r="D524" t="s">
        <v>4</v>
      </c>
      <c r="E524" s="8">
        <v>44372</v>
      </c>
      <c r="F524">
        <v>63</v>
      </c>
    </row>
    <row r="525" spans="1:6" x14ac:dyDescent="0.25">
      <c r="A525" t="s">
        <v>50</v>
      </c>
      <c r="B525">
        <v>1</v>
      </c>
      <c r="C525" t="s">
        <v>10</v>
      </c>
      <c r="D525" t="s">
        <v>1</v>
      </c>
      <c r="E525" s="8">
        <v>44445</v>
      </c>
      <c r="F525">
        <v>70</v>
      </c>
    </row>
    <row r="526" spans="1:6" x14ac:dyDescent="0.25">
      <c r="A526" t="s">
        <v>50</v>
      </c>
      <c r="B526">
        <v>1</v>
      </c>
      <c r="C526" t="s">
        <v>10</v>
      </c>
      <c r="D526" t="s">
        <v>1</v>
      </c>
      <c r="E526" s="8">
        <v>44446</v>
      </c>
      <c r="F526">
        <v>234</v>
      </c>
    </row>
    <row r="527" spans="1:6" x14ac:dyDescent="0.25">
      <c r="A527" t="s">
        <v>50</v>
      </c>
      <c r="B527">
        <v>1</v>
      </c>
      <c r="C527" t="s">
        <v>10</v>
      </c>
      <c r="D527" t="s">
        <v>1</v>
      </c>
      <c r="E527" s="8">
        <v>44447</v>
      </c>
      <c r="F527">
        <v>109</v>
      </c>
    </row>
    <row r="528" spans="1:6" x14ac:dyDescent="0.25">
      <c r="A528" t="s">
        <v>50</v>
      </c>
      <c r="B528">
        <v>1</v>
      </c>
      <c r="C528" t="s">
        <v>10</v>
      </c>
      <c r="D528" t="s">
        <v>1</v>
      </c>
      <c r="E528" s="8">
        <v>44449</v>
      </c>
      <c r="F528">
        <v>31</v>
      </c>
    </row>
    <row r="529" spans="1:6" x14ac:dyDescent="0.25">
      <c r="A529" t="s">
        <v>50</v>
      </c>
      <c r="B529">
        <v>1</v>
      </c>
      <c r="C529" t="s">
        <v>10</v>
      </c>
      <c r="D529" t="s">
        <v>1</v>
      </c>
      <c r="E529" s="8">
        <v>44450</v>
      </c>
      <c r="F529">
        <v>267</v>
      </c>
    </row>
    <row r="530" spans="1:6" x14ac:dyDescent="0.25">
      <c r="A530" t="s">
        <v>50</v>
      </c>
      <c r="B530">
        <v>1</v>
      </c>
      <c r="C530" t="s">
        <v>10</v>
      </c>
      <c r="D530" t="s">
        <v>1</v>
      </c>
      <c r="E530" s="8">
        <v>44451</v>
      </c>
      <c r="F530">
        <v>189</v>
      </c>
    </row>
    <row r="531" spans="1:6" x14ac:dyDescent="0.25">
      <c r="A531" t="s">
        <v>50</v>
      </c>
      <c r="B531">
        <v>1</v>
      </c>
      <c r="C531" t="s">
        <v>10</v>
      </c>
      <c r="D531" t="s">
        <v>1</v>
      </c>
      <c r="E531" s="8">
        <v>44452</v>
      </c>
      <c r="F531">
        <v>184</v>
      </c>
    </row>
    <row r="532" spans="1:6" x14ac:dyDescent="0.25">
      <c r="A532" t="s">
        <v>50</v>
      </c>
      <c r="B532">
        <v>1</v>
      </c>
      <c r="C532" t="s">
        <v>10</v>
      </c>
      <c r="D532" t="s">
        <v>1</v>
      </c>
      <c r="E532" s="8">
        <v>44453</v>
      </c>
      <c r="F532">
        <v>112</v>
      </c>
    </row>
    <row r="533" spans="1:6" x14ac:dyDescent="0.25">
      <c r="A533" t="s">
        <v>50</v>
      </c>
      <c r="B533">
        <v>1</v>
      </c>
      <c r="C533" t="s">
        <v>11</v>
      </c>
      <c r="D533" t="s">
        <v>1</v>
      </c>
      <c r="E533" s="8">
        <v>44428</v>
      </c>
      <c r="F533">
        <v>184</v>
      </c>
    </row>
    <row r="534" spans="1:6" x14ac:dyDescent="0.25">
      <c r="A534" t="s">
        <v>50</v>
      </c>
      <c r="B534">
        <v>1</v>
      </c>
      <c r="C534" t="s">
        <v>11</v>
      </c>
      <c r="D534" t="s">
        <v>1</v>
      </c>
      <c r="E534" s="8">
        <v>44429</v>
      </c>
      <c r="F534">
        <v>139</v>
      </c>
    </row>
    <row r="535" spans="1:6" x14ac:dyDescent="0.25">
      <c r="A535" t="s">
        <v>50</v>
      </c>
      <c r="B535">
        <v>1</v>
      </c>
      <c r="C535" t="s">
        <v>11</v>
      </c>
      <c r="D535" t="s">
        <v>1</v>
      </c>
      <c r="E535" s="8">
        <v>44430</v>
      </c>
      <c r="F535">
        <v>118</v>
      </c>
    </row>
    <row r="536" spans="1:6" x14ac:dyDescent="0.25">
      <c r="A536" t="s">
        <v>50</v>
      </c>
      <c r="B536">
        <v>1</v>
      </c>
      <c r="C536" t="s">
        <v>11</v>
      </c>
      <c r="D536" t="s">
        <v>1</v>
      </c>
      <c r="E536" s="8">
        <v>44441</v>
      </c>
      <c r="F536">
        <v>45</v>
      </c>
    </row>
    <row r="537" spans="1:6" x14ac:dyDescent="0.25">
      <c r="A537" t="s">
        <v>50</v>
      </c>
      <c r="B537">
        <v>1</v>
      </c>
      <c r="C537" t="s">
        <v>11</v>
      </c>
      <c r="D537" t="s">
        <v>1</v>
      </c>
      <c r="E537" s="8">
        <v>44442</v>
      </c>
      <c r="F537">
        <v>92</v>
      </c>
    </row>
    <row r="538" spans="1:6" x14ac:dyDescent="0.25">
      <c r="A538" t="s">
        <v>50</v>
      </c>
      <c r="B538">
        <v>1</v>
      </c>
      <c r="C538" t="s">
        <v>11</v>
      </c>
      <c r="D538" t="s">
        <v>1</v>
      </c>
      <c r="E538" s="8">
        <v>44443</v>
      </c>
      <c r="F538">
        <v>48</v>
      </c>
    </row>
    <row r="539" spans="1:6" x14ac:dyDescent="0.25">
      <c r="A539" t="s">
        <v>50</v>
      </c>
      <c r="B539">
        <v>1</v>
      </c>
      <c r="C539" t="s">
        <v>11</v>
      </c>
      <c r="D539" t="s">
        <v>1</v>
      </c>
      <c r="E539" s="8">
        <v>44445</v>
      </c>
      <c r="F539">
        <v>63</v>
      </c>
    </row>
    <row r="540" spans="1:6" x14ac:dyDescent="0.25">
      <c r="A540" t="s">
        <v>50</v>
      </c>
      <c r="B540">
        <v>1</v>
      </c>
      <c r="C540" t="s">
        <v>12</v>
      </c>
      <c r="D540" t="s">
        <v>1</v>
      </c>
      <c r="E540" s="8">
        <v>44409</v>
      </c>
      <c r="F540">
        <v>262</v>
      </c>
    </row>
    <row r="541" spans="1:6" x14ac:dyDescent="0.25">
      <c r="A541" t="s">
        <v>50</v>
      </c>
      <c r="B541">
        <v>1</v>
      </c>
      <c r="C541" t="s">
        <v>12</v>
      </c>
      <c r="D541" t="s">
        <v>1</v>
      </c>
      <c r="E541" s="8">
        <v>44410</v>
      </c>
      <c r="F541">
        <v>157</v>
      </c>
    </row>
    <row r="542" spans="1:6" x14ac:dyDescent="0.25">
      <c r="A542" t="s">
        <v>50</v>
      </c>
      <c r="B542">
        <v>1</v>
      </c>
      <c r="C542" t="s">
        <v>12</v>
      </c>
      <c r="D542" t="s">
        <v>1</v>
      </c>
      <c r="E542" s="8">
        <v>44411</v>
      </c>
      <c r="F542">
        <v>51</v>
      </c>
    </row>
    <row r="543" spans="1:6" x14ac:dyDescent="0.25">
      <c r="A543" t="s">
        <v>50</v>
      </c>
      <c r="B543">
        <v>1</v>
      </c>
      <c r="C543" t="s">
        <v>13</v>
      </c>
      <c r="D543" t="s">
        <v>0</v>
      </c>
      <c r="E543" s="8">
        <v>44388</v>
      </c>
      <c r="F543">
        <v>62</v>
      </c>
    </row>
    <row r="544" spans="1:6" x14ac:dyDescent="0.25">
      <c r="A544" t="s">
        <v>50</v>
      </c>
      <c r="B544">
        <v>1</v>
      </c>
      <c r="C544" t="s">
        <v>13</v>
      </c>
      <c r="D544" t="s">
        <v>0</v>
      </c>
      <c r="E544" s="8">
        <v>44392</v>
      </c>
      <c r="F544">
        <v>34</v>
      </c>
    </row>
    <row r="545" spans="1:6" x14ac:dyDescent="0.25">
      <c r="A545" t="s">
        <v>50</v>
      </c>
      <c r="B545">
        <v>1</v>
      </c>
      <c r="C545" t="s">
        <v>13</v>
      </c>
      <c r="D545" t="s">
        <v>0</v>
      </c>
      <c r="E545" s="8">
        <v>44393</v>
      </c>
      <c r="F545">
        <v>20</v>
      </c>
    </row>
    <row r="546" spans="1:6" x14ac:dyDescent="0.25">
      <c r="A546" t="s">
        <v>50</v>
      </c>
      <c r="B546">
        <v>1</v>
      </c>
      <c r="C546" t="s">
        <v>13</v>
      </c>
      <c r="D546" t="s">
        <v>0</v>
      </c>
      <c r="E546" s="8">
        <v>44394</v>
      </c>
      <c r="F546">
        <v>29</v>
      </c>
    </row>
    <row r="547" spans="1:6" x14ac:dyDescent="0.25">
      <c r="A547" t="s">
        <v>50</v>
      </c>
      <c r="B547">
        <v>1</v>
      </c>
      <c r="C547" t="s">
        <v>13</v>
      </c>
      <c r="D547" t="s">
        <v>1</v>
      </c>
      <c r="E547" s="8">
        <v>44383</v>
      </c>
      <c r="F547">
        <v>9</v>
      </c>
    </row>
    <row r="548" spans="1:6" x14ac:dyDescent="0.25">
      <c r="A548" t="s">
        <v>50</v>
      </c>
      <c r="B548">
        <v>1</v>
      </c>
      <c r="C548" t="s">
        <v>13</v>
      </c>
      <c r="D548" t="s">
        <v>1</v>
      </c>
      <c r="E548" s="8">
        <v>44384</v>
      </c>
      <c r="F548">
        <v>29</v>
      </c>
    </row>
    <row r="549" spans="1:6" x14ac:dyDescent="0.25">
      <c r="A549" t="s">
        <v>50</v>
      </c>
      <c r="B549">
        <v>1</v>
      </c>
      <c r="C549" t="s">
        <v>13</v>
      </c>
      <c r="D549" t="s">
        <v>1</v>
      </c>
      <c r="E549" s="8">
        <v>44527</v>
      </c>
      <c r="F549">
        <v>3</v>
      </c>
    </row>
    <row r="550" spans="1:6" x14ac:dyDescent="0.25">
      <c r="A550" t="s">
        <v>50</v>
      </c>
      <c r="B550">
        <v>1</v>
      </c>
      <c r="C550" t="s">
        <v>14</v>
      </c>
      <c r="D550" t="s">
        <v>0</v>
      </c>
      <c r="E550" s="8">
        <v>44388</v>
      </c>
      <c r="F550">
        <v>28</v>
      </c>
    </row>
    <row r="551" spans="1:6" x14ac:dyDescent="0.25">
      <c r="A551" t="s">
        <v>50</v>
      </c>
      <c r="B551">
        <v>1</v>
      </c>
      <c r="C551" t="s">
        <v>14</v>
      </c>
      <c r="D551" t="s">
        <v>0</v>
      </c>
      <c r="E551" s="8">
        <v>44389</v>
      </c>
      <c r="F551">
        <v>126</v>
      </c>
    </row>
    <row r="552" spans="1:6" x14ac:dyDescent="0.25">
      <c r="A552" t="s">
        <v>50</v>
      </c>
      <c r="B552">
        <v>1</v>
      </c>
      <c r="C552" t="s">
        <v>14</v>
      </c>
      <c r="D552" t="s">
        <v>0</v>
      </c>
      <c r="E552" s="8">
        <v>44390</v>
      </c>
      <c r="F552">
        <v>112</v>
      </c>
    </row>
    <row r="553" spans="1:6" x14ac:dyDescent="0.25">
      <c r="A553" t="s">
        <v>50</v>
      </c>
      <c r="B553">
        <v>1</v>
      </c>
      <c r="C553" t="s">
        <v>14</v>
      </c>
      <c r="D553" t="s">
        <v>0</v>
      </c>
      <c r="E553" s="8">
        <v>44392</v>
      </c>
      <c r="F553">
        <v>60</v>
      </c>
    </row>
    <row r="554" spans="1:6" x14ac:dyDescent="0.25">
      <c r="A554" t="s">
        <v>50</v>
      </c>
      <c r="B554">
        <v>1</v>
      </c>
      <c r="C554" t="s">
        <v>14</v>
      </c>
      <c r="D554" t="s">
        <v>0</v>
      </c>
      <c r="E554" s="8">
        <v>44393</v>
      </c>
      <c r="F554">
        <v>28</v>
      </c>
    </row>
    <row r="555" spans="1:6" x14ac:dyDescent="0.25">
      <c r="A555" t="s">
        <v>50</v>
      </c>
      <c r="B555">
        <v>1</v>
      </c>
      <c r="C555" t="s">
        <v>14</v>
      </c>
      <c r="D555" t="s">
        <v>0</v>
      </c>
      <c r="E555" s="8">
        <v>44394</v>
      </c>
      <c r="F555">
        <v>69</v>
      </c>
    </row>
    <row r="556" spans="1:6" x14ac:dyDescent="0.25">
      <c r="A556" t="s">
        <v>50</v>
      </c>
      <c r="B556">
        <v>1</v>
      </c>
      <c r="C556" t="s">
        <v>14</v>
      </c>
      <c r="D556" t="s">
        <v>0</v>
      </c>
      <c r="E556" s="8">
        <v>44395</v>
      </c>
      <c r="F556">
        <v>49</v>
      </c>
    </row>
    <row r="557" spans="1:6" x14ac:dyDescent="0.25">
      <c r="A557" t="s">
        <v>50</v>
      </c>
      <c r="B557">
        <v>1</v>
      </c>
      <c r="C557" t="s">
        <v>14</v>
      </c>
      <c r="D557" t="s">
        <v>0</v>
      </c>
      <c r="E557" s="8">
        <v>44396</v>
      </c>
      <c r="F557">
        <v>186</v>
      </c>
    </row>
    <row r="558" spans="1:6" x14ac:dyDescent="0.25">
      <c r="A558" t="s">
        <v>50</v>
      </c>
      <c r="B558">
        <v>1</v>
      </c>
      <c r="C558" t="s">
        <v>14</v>
      </c>
      <c r="D558" t="s">
        <v>0</v>
      </c>
      <c r="E558" s="8">
        <v>44401</v>
      </c>
      <c r="F558">
        <v>61</v>
      </c>
    </row>
    <row r="559" spans="1:6" x14ac:dyDescent="0.25">
      <c r="A559" t="s">
        <v>50</v>
      </c>
      <c r="B559">
        <v>1</v>
      </c>
      <c r="C559" t="s">
        <v>14</v>
      </c>
      <c r="D559" t="s">
        <v>0</v>
      </c>
      <c r="E559" s="8">
        <v>44402</v>
      </c>
      <c r="F559">
        <v>22</v>
      </c>
    </row>
    <row r="560" spans="1:6" x14ac:dyDescent="0.25">
      <c r="A560" t="s">
        <v>50</v>
      </c>
      <c r="B560">
        <v>1</v>
      </c>
      <c r="C560" t="s">
        <v>14</v>
      </c>
      <c r="D560" t="s">
        <v>0</v>
      </c>
      <c r="E560" s="8">
        <v>44404</v>
      </c>
      <c r="F560">
        <v>57</v>
      </c>
    </row>
    <row r="561" spans="1:6" x14ac:dyDescent="0.25">
      <c r="A561" t="s">
        <v>50</v>
      </c>
      <c r="B561">
        <v>1</v>
      </c>
      <c r="C561" t="s">
        <v>14</v>
      </c>
      <c r="D561" t="s">
        <v>0</v>
      </c>
      <c r="E561" s="8">
        <v>44405</v>
      </c>
      <c r="F561">
        <v>249</v>
      </c>
    </row>
    <row r="562" spans="1:6" x14ac:dyDescent="0.25">
      <c r="A562" t="s">
        <v>50</v>
      </c>
      <c r="B562">
        <v>1</v>
      </c>
      <c r="C562" t="s">
        <v>14</v>
      </c>
      <c r="D562" t="s">
        <v>0</v>
      </c>
      <c r="E562" s="8">
        <v>44406</v>
      </c>
      <c r="F562">
        <v>112</v>
      </c>
    </row>
    <row r="563" spans="1:6" x14ac:dyDescent="0.25">
      <c r="A563" t="s">
        <v>50</v>
      </c>
      <c r="B563">
        <v>1</v>
      </c>
      <c r="C563" t="s">
        <v>14</v>
      </c>
      <c r="D563" t="s">
        <v>0</v>
      </c>
      <c r="E563" s="8">
        <v>44407</v>
      </c>
      <c r="F563">
        <v>222</v>
      </c>
    </row>
    <row r="564" spans="1:6" x14ac:dyDescent="0.25">
      <c r="A564" t="s">
        <v>50</v>
      </c>
      <c r="B564">
        <v>1</v>
      </c>
      <c r="C564" t="s">
        <v>14</v>
      </c>
      <c r="D564" t="s">
        <v>0</v>
      </c>
      <c r="E564" s="8">
        <v>44408</v>
      </c>
      <c r="F564">
        <v>180</v>
      </c>
    </row>
    <row r="565" spans="1:6" x14ac:dyDescent="0.25">
      <c r="A565" t="s">
        <v>50</v>
      </c>
      <c r="B565">
        <v>1</v>
      </c>
      <c r="C565" t="s">
        <v>14</v>
      </c>
      <c r="D565" t="s">
        <v>0</v>
      </c>
      <c r="E565" s="8">
        <v>44409</v>
      </c>
      <c r="F565">
        <v>65</v>
      </c>
    </row>
    <row r="566" spans="1:6" x14ac:dyDescent="0.25">
      <c r="A566" t="s">
        <v>50</v>
      </c>
      <c r="B566">
        <v>1</v>
      </c>
      <c r="C566" t="s">
        <v>14</v>
      </c>
      <c r="D566" t="s">
        <v>0</v>
      </c>
      <c r="E566" s="8">
        <v>44410</v>
      </c>
      <c r="F566">
        <v>183</v>
      </c>
    </row>
    <row r="567" spans="1:6" x14ac:dyDescent="0.25">
      <c r="A567" t="s">
        <v>50</v>
      </c>
      <c r="B567">
        <v>1</v>
      </c>
      <c r="C567" t="s">
        <v>14</v>
      </c>
      <c r="D567" t="s">
        <v>0</v>
      </c>
      <c r="E567" s="8">
        <v>44411</v>
      </c>
      <c r="F567">
        <v>79</v>
      </c>
    </row>
    <row r="568" spans="1:6" x14ac:dyDescent="0.25">
      <c r="A568" t="s">
        <v>50</v>
      </c>
      <c r="B568">
        <v>1</v>
      </c>
      <c r="C568" t="s">
        <v>14</v>
      </c>
      <c r="D568" t="s">
        <v>0</v>
      </c>
      <c r="E568" s="8">
        <v>44452</v>
      </c>
      <c r="F568">
        <v>3</v>
      </c>
    </row>
    <row r="569" spans="1:6" x14ac:dyDescent="0.25">
      <c r="A569" t="s">
        <v>50</v>
      </c>
      <c r="B569">
        <v>1</v>
      </c>
      <c r="C569" t="s">
        <v>14</v>
      </c>
      <c r="D569" t="s">
        <v>0</v>
      </c>
      <c r="E569" s="8">
        <v>44453</v>
      </c>
      <c r="F569">
        <v>156</v>
      </c>
    </row>
    <row r="570" spans="1:6" x14ac:dyDescent="0.25">
      <c r="A570" t="s">
        <v>50</v>
      </c>
      <c r="B570">
        <v>1</v>
      </c>
      <c r="C570" t="s">
        <v>14</v>
      </c>
      <c r="D570" t="s">
        <v>0</v>
      </c>
      <c r="E570" s="8">
        <v>44454</v>
      </c>
      <c r="F570">
        <v>104</v>
      </c>
    </row>
    <row r="571" spans="1:6" x14ac:dyDescent="0.25">
      <c r="A571" t="s">
        <v>50</v>
      </c>
      <c r="B571">
        <v>1</v>
      </c>
      <c r="C571" t="s">
        <v>14</v>
      </c>
      <c r="D571" t="s">
        <v>1</v>
      </c>
      <c r="E571" s="8">
        <v>44385</v>
      </c>
      <c r="F571">
        <v>44</v>
      </c>
    </row>
    <row r="572" spans="1:6" x14ac:dyDescent="0.25">
      <c r="A572" t="s">
        <v>50</v>
      </c>
      <c r="B572">
        <v>1</v>
      </c>
      <c r="C572" t="s">
        <v>15</v>
      </c>
      <c r="D572" t="s">
        <v>0</v>
      </c>
      <c r="E572" s="8">
        <v>44402</v>
      </c>
      <c r="F572">
        <v>23</v>
      </c>
    </row>
    <row r="573" spans="1:6" x14ac:dyDescent="0.25">
      <c r="A573" t="s">
        <v>50</v>
      </c>
      <c r="B573">
        <v>1</v>
      </c>
      <c r="C573" t="s">
        <v>15</v>
      </c>
      <c r="D573" t="s">
        <v>0</v>
      </c>
      <c r="E573" s="8">
        <v>44403</v>
      </c>
      <c r="F573">
        <v>181</v>
      </c>
    </row>
    <row r="574" spans="1:6" x14ac:dyDescent="0.25">
      <c r="A574" t="s">
        <v>50</v>
      </c>
      <c r="B574">
        <v>1</v>
      </c>
      <c r="C574" t="s">
        <v>15</v>
      </c>
      <c r="D574" t="s">
        <v>0</v>
      </c>
      <c r="E574" s="8">
        <v>44417</v>
      </c>
      <c r="F574">
        <v>89</v>
      </c>
    </row>
    <row r="575" spans="1:6" x14ac:dyDescent="0.25">
      <c r="A575" t="s">
        <v>50</v>
      </c>
      <c r="B575">
        <v>1</v>
      </c>
      <c r="C575" t="s">
        <v>15</v>
      </c>
      <c r="D575" t="s">
        <v>0</v>
      </c>
      <c r="E575" s="8">
        <v>44418</v>
      </c>
      <c r="F575">
        <v>108</v>
      </c>
    </row>
    <row r="576" spans="1:6" x14ac:dyDescent="0.25">
      <c r="A576" t="s">
        <v>50</v>
      </c>
      <c r="B576">
        <v>1</v>
      </c>
      <c r="C576" t="s">
        <v>15</v>
      </c>
      <c r="D576" t="s">
        <v>0</v>
      </c>
      <c r="E576" s="8">
        <v>44419</v>
      </c>
      <c r="F576">
        <v>113</v>
      </c>
    </row>
    <row r="577" spans="1:6" x14ac:dyDescent="0.25">
      <c r="A577" t="s">
        <v>50</v>
      </c>
      <c r="B577">
        <v>1</v>
      </c>
      <c r="C577" t="s">
        <v>15</v>
      </c>
      <c r="D577" t="s">
        <v>0</v>
      </c>
      <c r="E577" s="8">
        <v>44420</v>
      </c>
      <c r="F577">
        <v>72</v>
      </c>
    </row>
    <row r="578" spans="1:6" x14ac:dyDescent="0.25">
      <c r="A578" t="s">
        <v>50</v>
      </c>
      <c r="B578">
        <v>1</v>
      </c>
      <c r="C578" t="s">
        <v>15</v>
      </c>
      <c r="D578" t="s">
        <v>0</v>
      </c>
      <c r="E578" s="8">
        <v>44421</v>
      </c>
      <c r="F578">
        <v>96</v>
      </c>
    </row>
    <row r="579" spans="1:6" x14ac:dyDescent="0.25">
      <c r="A579" t="s">
        <v>50</v>
      </c>
      <c r="B579">
        <v>1</v>
      </c>
      <c r="C579" t="s">
        <v>15</v>
      </c>
      <c r="D579" t="s">
        <v>0</v>
      </c>
      <c r="E579" s="8">
        <v>44422</v>
      </c>
      <c r="F579">
        <v>52</v>
      </c>
    </row>
    <row r="580" spans="1:6" x14ac:dyDescent="0.25">
      <c r="A580" t="s">
        <v>50</v>
      </c>
      <c r="B580">
        <v>1</v>
      </c>
      <c r="C580" t="s">
        <v>15</v>
      </c>
      <c r="D580" t="s">
        <v>0</v>
      </c>
      <c r="E580" s="8">
        <v>44423</v>
      </c>
      <c r="F580">
        <v>89</v>
      </c>
    </row>
    <row r="581" spans="1:6" x14ac:dyDescent="0.25">
      <c r="A581" t="s">
        <v>50</v>
      </c>
      <c r="B581">
        <v>1</v>
      </c>
      <c r="C581" t="s">
        <v>15</v>
      </c>
      <c r="D581" t="s">
        <v>0</v>
      </c>
      <c r="E581" s="8">
        <v>44424</v>
      </c>
      <c r="F581">
        <v>184</v>
      </c>
    </row>
    <row r="582" spans="1:6" x14ac:dyDescent="0.25">
      <c r="A582" t="s">
        <v>50</v>
      </c>
      <c r="B582">
        <v>1</v>
      </c>
      <c r="C582" t="s">
        <v>15</v>
      </c>
      <c r="D582" t="s">
        <v>0</v>
      </c>
      <c r="E582" s="8">
        <v>44425</v>
      </c>
      <c r="F582">
        <v>55</v>
      </c>
    </row>
    <row r="583" spans="1:6" x14ac:dyDescent="0.25">
      <c r="A583" t="s">
        <v>50</v>
      </c>
      <c r="B583">
        <v>1</v>
      </c>
      <c r="C583" t="s">
        <v>15</v>
      </c>
      <c r="D583" t="s">
        <v>0</v>
      </c>
      <c r="E583" s="8">
        <v>44426</v>
      </c>
      <c r="F583">
        <v>119</v>
      </c>
    </row>
    <row r="584" spans="1:6" x14ac:dyDescent="0.25">
      <c r="A584" t="s">
        <v>50</v>
      </c>
      <c r="B584">
        <v>1</v>
      </c>
      <c r="C584" t="s">
        <v>15</v>
      </c>
      <c r="D584" t="s">
        <v>0</v>
      </c>
      <c r="E584" s="8">
        <v>44427</v>
      </c>
      <c r="F584">
        <v>116</v>
      </c>
    </row>
    <row r="585" spans="1:6" x14ac:dyDescent="0.25">
      <c r="A585" t="s">
        <v>50</v>
      </c>
      <c r="B585">
        <v>1</v>
      </c>
      <c r="C585" t="s">
        <v>15</v>
      </c>
      <c r="D585" t="s">
        <v>0</v>
      </c>
      <c r="E585" s="8">
        <v>44428</v>
      </c>
      <c r="F585">
        <v>152</v>
      </c>
    </row>
    <row r="586" spans="1:6" x14ac:dyDescent="0.25">
      <c r="A586" t="s">
        <v>50</v>
      </c>
      <c r="B586">
        <v>1</v>
      </c>
      <c r="C586" t="s">
        <v>15</v>
      </c>
      <c r="D586" t="s">
        <v>0</v>
      </c>
      <c r="E586" s="8">
        <v>44429</v>
      </c>
      <c r="F586">
        <v>31</v>
      </c>
    </row>
    <row r="587" spans="1:6" x14ac:dyDescent="0.25">
      <c r="A587" t="s">
        <v>50</v>
      </c>
      <c r="B587">
        <v>1</v>
      </c>
      <c r="C587" t="s">
        <v>15</v>
      </c>
      <c r="D587" t="s">
        <v>0</v>
      </c>
      <c r="E587" s="8">
        <v>44430</v>
      </c>
      <c r="F587">
        <v>6</v>
      </c>
    </row>
    <row r="588" spans="1:6" x14ac:dyDescent="0.25">
      <c r="A588" t="s">
        <v>50</v>
      </c>
      <c r="B588">
        <v>1</v>
      </c>
      <c r="C588" t="s">
        <v>15</v>
      </c>
      <c r="D588" t="s">
        <v>0</v>
      </c>
      <c r="E588" s="8">
        <v>44431</v>
      </c>
      <c r="F588">
        <v>84</v>
      </c>
    </row>
    <row r="589" spans="1:6" x14ac:dyDescent="0.25">
      <c r="A589" t="s">
        <v>50</v>
      </c>
      <c r="B589">
        <v>1</v>
      </c>
      <c r="C589" t="s">
        <v>15</v>
      </c>
      <c r="D589" t="s">
        <v>0</v>
      </c>
      <c r="E589" s="8">
        <v>44432</v>
      </c>
      <c r="F589">
        <v>143</v>
      </c>
    </row>
    <row r="590" spans="1:6" x14ac:dyDescent="0.25">
      <c r="A590" t="s">
        <v>50</v>
      </c>
      <c r="B590">
        <v>1</v>
      </c>
      <c r="C590" t="s">
        <v>15</v>
      </c>
      <c r="D590" t="s">
        <v>0</v>
      </c>
      <c r="E590" s="8">
        <v>44433</v>
      </c>
      <c r="F590">
        <v>156</v>
      </c>
    </row>
    <row r="591" spans="1:6" x14ac:dyDescent="0.25">
      <c r="A591" t="s">
        <v>50</v>
      </c>
      <c r="B591">
        <v>1</v>
      </c>
      <c r="C591" t="s">
        <v>15</v>
      </c>
      <c r="D591" t="s">
        <v>0</v>
      </c>
      <c r="E591" s="8">
        <v>44436</v>
      </c>
      <c r="F591">
        <v>68</v>
      </c>
    </row>
    <row r="592" spans="1:6" x14ac:dyDescent="0.25">
      <c r="A592" t="s">
        <v>50</v>
      </c>
      <c r="B592">
        <v>1</v>
      </c>
      <c r="C592" t="s">
        <v>15</v>
      </c>
      <c r="D592" t="s">
        <v>0</v>
      </c>
      <c r="E592" s="8">
        <v>44437</v>
      </c>
      <c r="F592">
        <v>60</v>
      </c>
    </row>
    <row r="593" spans="1:6" x14ac:dyDescent="0.25">
      <c r="A593" t="s">
        <v>50</v>
      </c>
      <c r="B593">
        <v>1</v>
      </c>
      <c r="C593" t="s">
        <v>15</v>
      </c>
      <c r="D593" t="s">
        <v>0</v>
      </c>
      <c r="E593" s="8">
        <v>44438</v>
      </c>
      <c r="F593">
        <v>155</v>
      </c>
    </row>
    <row r="594" spans="1:6" x14ac:dyDescent="0.25">
      <c r="A594" t="s">
        <v>50</v>
      </c>
      <c r="B594">
        <v>1</v>
      </c>
      <c r="C594" t="s">
        <v>15</v>
      </c>
      <c r="D594" t="s">
        <v>0</v>
      </c>
      <c r="E594" s="8">
        <v>44439</v>
      </c>
      <c r="F594">
        <v>58</v>
      </c>
    </row>
    <row r="595" spans="1:6" x14ac:dyDescent="0.25">
      <c r="A595" t="s">
        <v>50</v>
      </c>
      <c r="B595">
        <v>1</v>
      </c>
      <c r="C595" t="s">
        <v>15</v>
      </c>
      <c r="D595" t="s">
        <v>0</v>
      </c>
      <c r="E595" s="8">
        <v>44440</v>
      </c>
      <c r="F595">
        <v>73</v>
      </c>
    </row>
    <row r="596" spans="1:6" x14ac:dyDescent="0.25">
      <c r="A596" t="s">
        <v>50</v>
      </c>
      <c r="B596">
        <v>1</v>
      </c>
      <c r="C596" t="s">
        <v>15</v>
      </c>
      <c r="D596" t="s">
        <v>0</v>
      </c>
      <c r="E596" s="8">
        <v>44441</v>
      </c>
      <c r="F596">
        <v>0</v>
      </c>
    </row>
    <row r="597" spans="1:6" x14ac:dyDescent="0.25">
      <c r="A597" t="s">
        <v>50</v>
      </c>
      <c r="B597">
        <v>1</v>
      </c>
      <c r="C597" t="s">
        <v>15</v>
      </c>
      <c r="D597" t="s">
        <v>0</v>
      </c>
      <c r="E597" s="8">
        <v>44442</v>
      </c>
      <c r="F597">
        <v>104</v>
      </c>
    </row>
    <row r="598" spans="1:6" x14ac:dyDescent="0.25">
      <c r="A598" t="s">
        <v>50</v>
      </c>
      <c r="B598">
        <v>1</v>
      </c>
      <c r="C598" t="s">
        <v>15</v>
      </c>
      <c r="D598" t="s">
        <v>0</v>
      </c>
      <c r="E598" s="8">
        <v>44447</v>
      </c>
      <c r="F598">
        <v>115</v>
      </c>
    </row>
    <row r="599" spans="1:6" x14ac:dyDescent="0.25">
      <c r="A599" t="s">
        <v>50</v>
      </c>
      <c r="B599">
        <v>1</v>
      </c>
      <c r="C599" t="s">
        <v>15</v>
      </c>
      <c r="D599" t="s">
        <v>0</v>
      </c>
      <c r="E599" s="8">
        <v>44448</v>
      </c>
      <c r="F599">
        <v>82</v>
      </c>
    </row>
    <row r="600" spans="1:6" x14ac:dyDescent="0.25">
      <c r="A600" t="s">
        <v>50</v>
      </c>
      <c r="B600">
        <v>1</v>
      </c>
      <c r="C600" t="s">
        <v>15</v>
      </c>
      <c r="D600" t="s">
        <v>0</v>
      </c>
      <c r="E600" s="8">
        <v>44449</v>
      </c>
      <c r="F600">
        <v>160</v>
      </c>
    </row>
    <row r="601" spans="1:6" x14ac:dyDescent="0.25">
      <c r="A601" t="s">
        <v>50</v>
      </c>
      <c r="B601">
        <v>1</v>
      </c>
      <c r="C601" t="s">
        <v>15</v>
      </c>
      <c r="D601" t="s">
        <v>0</v>
      </c>
      <c r="E601" s="8">
        <v>44450</v>
      </c>
      <c r="F601">
        <v>126</v>
      </c>
    </row>
    <row r="602" spans="1:6" x14ac:dyDescent="0.25">
      <c r="A602" t="s">
        <v>50</v>
      </c>
      <c r="B602">
        <v>1</v>
      </c>
      <c r="C602" t="s">
        <v>15</v>
      </c>
      <c r="D602" t="s">
        <v>0</v>
      </c>
      <c r="E602" s="8">
        <v>44451</v>
      </c>
      <c r="F602">
        <v>126</v>
      </c>
    </row>
    <row r="603" spans="1:6" x14ac:dyDescent="0.25">
      <c r="A603" t="s">
        <v>50</v>
      </c>
      <c r="B603">
        <v>1</v>
      </c>
      <c r="C603" t="s">
        <v>15</v>
      </c>
      <c r="D603" t="s">
        <v>0</v>
      </c>
      <c r="E603" s="8">
        <v>44452</v>
      </c>
      <c r="F603">
        <v>57</v>
      </c>
    </row>
    <row r="604" spans="1:6" x14ac:dyDescent="0.25">
      <c r="A604" t="s">
        <v>50</v>
      </c>
      <c r="B604">
        <v>1</v>
      </c>
      <c r="C604" t="s">
        <v>16</v>
      </c>
      <c r="D604" t="s">
        <v>0</v>
      </c>
      <c r="E604" s="8">
        <v>44397</v>
      </c>
      <c r="F604">
        <v>213</v>
      </c>
    </row>
    <row r="605" spans="1:6" x14ac:dyDescent="0.25">
      <c r="A605" t="s">
        <v>50</v>
      </c>
      <c r="B605">
        <v>1</v>
      </c>
      <c r="C605" t="s">
        <v>16</v>
      </c>
      <c r="D605" t="s">
        <v>0</v>
      </c>
      <c r="E605" s="8">
        <v>44398</v>
      </c>
      <c r="F605">
        <v>181</v>
      </c>
    </row>
    <row r="606" spans="1:6" x14ac:dyDescent="0.25">
      <c r="A606" t="s">
        <v>50</v>
      </c>
      <c r="B606">
        <v>1</v>
      </c>
      <c r="C606" t="s">
        <v>16</v>
      </c>
      <c r="D606" t="s">
        <v>0</v>
      </c>
      <c r="E606" s="8">
        <v>44399</v>
      </c>
      <c r="F606">
        <v>43</v>
      </c>
    </row>
    <row r="607" spans="1:6" x14ac:dyDescent="0.25">
      <c r="A607" t="s">
        <v>50</v>
      </c>
      <c r="B607">
        <v>1</v>
      </c>
      <c r="C607" t="s">
        <v>16</v>
      </c>
      <c r="D607" t="s">
        <v>0</v>
      </c>
      <c r="E607" s="8">
        <v>44400</v>
      </c>
      <c r="F607">
        <v>179</v>
      </c>
    </row>
    <row r="608" spans="1:6" x14ac:dyDescent="0.25">
      <c r="A608" t="s">
        <v>50</v>
      </c>
      <c r="B608">
        <v>1</v>
      </c>
      <c r="C608" t="s">
        <v>16</v>
      </c>
      <c r="D608" t="s">
        <v>0</v>
      </c>
      <c r="E608" s="8">
        <v>44401</v>
      </c>
      <c r="F608">
        <v>25</v>
      </c>
    </row>
    <row r="609" spans="1:6" x14ac:dyDescent="0.25">
      <c r="A609" t="s">
        <v>50</v>
      </c>
      <c r="B609">
        <v>1</v>
      </c>
      <c r="C609" t="s">
        <v>16</v>
      </c>
      <c r="D609" t="s">
        <v>0</v>
      </c>
      <c r="E609" s="8">
        <v>44454</v>
      </c>
      <c r="F609">
        <v>97</v>
      </c>
    </row>
    <row r="610" spans="1:6" x14ac:dyDescent="0.25">
      <c r="A610" t="s">
        <v>50</v>
      </c>
      <c r="B610">
        <v>1</v>
      </c>
      <c r="C610" t="s">
        <v>16</v>
      </c>
      <c r="D610" t="s">
        <v>0</v>
      </c>
      <c r="E610" s="8">
        <v>44455</v>
      </c>
      <c r="F610">
        <v>157</v>
      </c>
    </row>
    <row r="611" spans="1:6" x14ac:dyDescent="0.25">
      <c r="A611" t="s">
        <v>50</v>
      </c>
      <c r="B611">
        <v>1</v>
      </c>
      <c r="C611" t="s">
        <v>16</v>
      </c>
      <c r="D611" t="s">
        <v>0</v>
      </c>
      <c r="E611" s="8">
        <v>44456</v>
      </c>
      <c r="F611">
        <v>129</v>
      </c>
    </row>
    <row r="612" spans="1:6" x14ac:dyDescent="0.25">
      <c r="A612" t="s">
        <v>50</v>
      </c>
      <c r="B612">
        <v>1</v>
      </c>
      <c r="C612" t="s">
        <v>16</v>
      </c>
      <c r="D612" t="s">
        <v>0</v>
      </c>
      <c r="E612" s="8">
        <v>44457</v>
      </c>
      <c r="F612">
        <v>111</v>
      </c>
    </row>
    <row r="613" spans="1:6" x14ac:dyDescent="0.25">
      <c r="A613" t="s">
        <v>50</v>
      </c>
      <c r="B613">
        <v>1</v>
      </c>
      <c r="C613" t="s">
        <v>16</v>
      </c>
      <c r="D613" t="s">
        <v>0</v>
      </c>
      <c r="E613" s="8">
        <v>44458</v>
      </c>
      <c r="F613">
        <v>156</v>
      </c>
    </row>
    <row r="614" spans="1:6" x14ac:dyDescent="0.25">
      <c r="A614" t="s">
        <v>50</v>
      </c>
      <c r="B614">
        <v>1</v>
      </c>
      <c r="C614" t="s">
        <v>16</v>
      </c>
      <c r="D614" t="s">
        <v>0</v>
      </c>
      <c r="E614" s="8">
        <v>44459</v>
      </c>
      <c r="F614">
        <v>38</v>
      </c>
    </row>
    <row r="615" spans="1:6" x14ac:dyDescent="0.25">
      <c r="A615" t="s">
        <v>50</v>
      </c>
      <c r="B615">
        <v>1</v>
      </c>
      <c r="C615" t="s">
        <v>16</v>
      </c>
      <c r="D615" t="s">
        <v>0</v>
      </c>
      <c r="E615" s="8">
        <v>44493</v>
      </c>
      <c r="F615">
        <v>52</v>
      </c>
    </row>
    <row r="616" spans="1:6" x14ac:dyDescent="0.25">
      <c r="A616" t="s">
        <v>50</v>
      </c>
      <c r="B616">
        <v>1</v>
      </c>
      <c r="C616" t="s">
        <v>16</v>
      </c>
      <c r="D616" t="s">
        <v>0</v>
      </c>
      <c r="E616" s="8">
        <v>44494</v>
      </c>
      <c r="F616">
        <v>121</v>
      </c>
    </row>
    <row r="617" spans="1:6" x14ac:dyDescent="0.25">
      <c r="A617" t="s">
        <v>50</v>
      </c>
      <c r="B617">
        <v>1</v>
      </c>
      <c r="C617" t="s">
        <v>16</v>
      </c>
      <c r="D617" t="s">
        <v>0</v>
      </c>
      <c r="E617" s="8">
        <v>44495</v>
      </c>
      <c r="F617">
        <v>89</v>
      </c>
    </row>
    <row r="618" spans="1:6" x14ac:dyDescent="0.25">
      <c r="A618" t="s">
        <v>50</v>
      </c>
      <c r="B618">
        <v>1</v>
      </c>
      <c r="C618" t="s">
        <v>16</v>
      </c>
      <c r="D618" t="s">
        <v>0</v>
      </c>
      <c r="E618" s="8">
        <v>44496</v>
      </c>
      <c r="F618">
        <v>113</v>
      </c>
    </row>
    <row r="619" spans="1:6" x14ac:dyDescent="0.25">
      <c r="A619" t="s">
        <v>50</v>
      </c>
      <c r="B619">
        <v>1</v>
      </c>
      <c r="C619" t="s">
        <v>16</v>
      </c>
      <c r="D619" t="s">
        <v>0</v>
      </c>
      <c r="E619" s="8">
        <v>44500</v>
      </c>
      <c r="F619">
        <v>33</v>
      </c>
    </row>
    <row r="620" spans="1:6" x14ac:dyDescent="0.25">
      <c r="A620" t="s">
        <v>50</v>
      </c>
      <c r="B620">
        <v>1</v>
      </c>
      <c r="C620" t="s">
        <v>16</v>
      </c>
      <c r="D620" t="s">
        <v>0</v>
      </c>
      <c r="E620" s="8">
        <v>44501</v>
      </c>
      <c r="F620">
        <v>125</v>
      </c>
    </row>
    <row r="621" spans="1:6" x14ac:dyDescent="0.25">
      <c r="A621" t="s">
        <v>50</v>
      </c>
      <c r="B621">
        <v>1</v>
      </c>
      <c r="C621" t="s">
        <v>16</v>
      </c>
      <c r="D621" t="s">
        <v>0</v>
      </c>
      <c r="E621" s="8">
        <v>44502</v>
      </c>
      <c r="F621">
        <v>179</v>
      </c>
    </row>
    <row r="622" spans="1:6" x14ac:dyDescent="0.25">
      <c r="A622" t="s">
        <v>50</v>
      </c>
      <c r="B622">
        <v>1</v>
      </c>
      <c r="C622" t="s">
        <v>16</v>
      </c>
      <c r="D622" t="s">
        <v>0</v>
      </c>
      <c r="E622" s="8">
        <v>44503</v>
      </c>
      <c r="F622">
        <v>260</v>
      </c>
    </row>
    <row r="623" spans="1:6" x14ac:dyDescent="0.25">
      <c r="A623" t="s">
        <v>50</v>
      </c>
      <c r="B623">
        <v>1</v>
      </c>
      <c r="C623" t="s">
        <v>16</v>
      </c>
      <c r="D623" t="s">
        <v>0</v>
      </c>
      <c r="E623" s="8">
        <v>44504</v>
      </c>
      <c r="F623">
        <v>122</v>
      </c>
    </row>
    <row r="624" spans="1:6" x14ac:dyDescent="0.25">
      <c r="A624" t="s">
        <v>50</v>
      </c>
      <c r="B624">
        <v>1</v>
      </c>
      <c r="C624" t="s">
        <v>16</v>
      </c>
      <c r="D624" t="s">
        <v>0</v>
      </c>
      <c r="E624" s="8">
        <v>44505</v>
      </c>
      <c r="F624">
        <v>270</v>
      </c>
    </row>
    <row r="625" spans="1:6" x14ac:dyDescent="0.25">
      <c r="A625" t="s">
        <v>50</v>
      </c>
      <c r="B625">
        <v>1</v>
      </c>
      <c r="C625" t="s">
        <v>16</v>
      </c>
      <c r="D625" t="s">
        <v>0</v>
      </c>
      <c r="E625" s="8">
        <v>44507</v>
      </c>
      <c r="F625">
        <v>279</v>
      </c>
    </row>
    <row r="626" spans="1:6" x14ac:dyDescent="0.25">
      <c r="A626" t="s">
        <v>50</v>
      </c>
      <c r="B626">
        <v>1</v>
      </c>
      <c r="C626" t="s">
        <v>16</v>
      </c>
      <c r="D626" t="s">
        <v>0</v>
      </c>
      <c r="E626" s="8">
        <v>44508</v>
      </c>
      <c r="F626">
        <v>103</v>
      </c>
    </row>
    <row r="627" spans="1:6" x14ac:dyDescent="0.25">
      <c r="A627" t="s">
        <v>50</v>
      </c>
      <c r="B627">
        <v>1</v>
      </c>
      <c r="C627" t="s">
        <v>16</v>
      </c>
      <c r="D627" t="s">
        <v>0</v>
      </c>
      <c r="E627" s="8">
        <v>44509</v>
      </c>
      <c r="F627">
        <v>189</v>
      </c>
    </row>
    <row r="628" spans="1:6" x14ac:dyDescent="0.25">
      <c r="A628" t="s">
        <v>50</v>
      </c>
      <c r="B628">
        <v>1</v>
      </c>
      <c r="C628" t="s">
        <v>16</v>
      </c>
      <c r="D628" t="s">
        <v>0</v>
      </c>
      <c r="E628" s="8">
        <v>44510</v>
      </c>
      <c r="F628">
        <v>66</v>
      </c>
    </row>
    <row r="629" spans="1:6" x14ac:dyDescent="0.25">
      <c r="A629" t="s">
        <v>50</v>
      </c>
      <c r="B629">
        <v>1</v>
      </c>
      <c r="C629" t="s">
        <v>17</v>
      </c>
      <c r="D629" t="s">
        <v>0</v>
      </c>
      <c r="E629" s="8">
        <v>44461</v>
      </c>
      <c r="F629">
        <v>110</v>
      </c>
    </row>
    <row r="630" spans="1:6" x14ac:dyDescent="0.25">
      <c r="A630" t="s">
        <v>50</v>
      </c>
      <c r="B630">
        <v>1</v>
      </c>
      <c r="C630" t="s">
        <v>17</v>
      </c>
      <c r="D630" t="s">
        <v>0</v>
      </c>
      <c r="E630" s="8">
        <v>44462</v>
      </c>
      <c r="F630">
        <v>183</v>
      </c>
    </row>
    <row r="631" spans="1:6" x14ac:dyDescent="0.25">
      <c r="A631" t="s">
        <v>50</v>
      </c>
      <c r="B631">
        <v>1</v>
      </c>
      <c r="C631" t="s">
        <v>17</v>
      </c>
      <c r="D631" t="s">
        <v>0</v>
      </c>
      <c r="E631" s="8">
        <v>44466</v>
      </c>
      <c r="F631">
        <v>251</v>
      </c>
    </row>
    <row r="632" spans="1:6" x14ac:dyDescent="0.25">
      <c r="A632" t="s">
        <v>50</v>
      </c>
      <c r="B632">
        <v>1</v>
      </c>
      <c r="C632" t="s">
        <v>17</v>
      </c>
      <c r="D632" t="s">
        <v>0</v>
      </c>
      <c r="E632" s="8">
        <v>44472</v>
      </c>
      <c r="F632">
        <v>145</v>
      </c>
    </row>
    <row r="633" spans="1:6" x14ac:dyDescent="0.25">
      <c r="A633" t="s">
        <v>50</v>
      </c>
      <c r="B633">
        <v>1</v>
      </c>
      <c r="C633" t="s">
        <v>17</v>
      </c>
      <c r="D633" t="s">
        <v>0</v>
      </c>
      <c r="E633" s="8">
        <v>44474</v>
      </c>
      <c r="F633">
        <v>11</v>
      </c>
    </row>
    <row r="634" spans="1:6" x14ac:dyDescent="0.25">
      <c r="A634" t="s">
        <v>50</v>
      </c>
      <c r="B634">
        <v>1</v>
      </c>
      <c r="C634" t="s">
        <v>17</v>
      </c>
      <c r="D634" t="s">
        <v>0</v>
      </c>
      <c r="E634" s="8">
        <v>44475</v>
      </c>
      <c r="F634">
        <v>69</v>
      </c>
    </row>
    <row r="635" spans="1:6" x14ac:dyDescent="0.25">
      <c r="A635" t="s">
        <v>50</v>
      </c>
      <c r="B635">
        <v>1</v>
      </c>
      <c r="C635" t="s">
        <v>17</v>
      </c>
      <c r="D635" t="s">
        <v>0</v>
      </c>
      <c r="E635" s="8">
        <v>44476</v>
      </c>
      <c r="F635">
        <v>162</v>
      </c>
    </row>
    <row r="636" spans="1:6" x14ac:dyDescent="0.25">
      <c r="A636" t="s">
        <v>50</v>
      </c>
      <c r="B636">
        <v>1</v>
      </c>
      <c r="C636" t="s">
        <v>17</v>
      </c>
      <c r="D636" t="s">
        <v>0</v>
      </c>
      <c r="E636" s="8">
        <v>44477</v>
      </c>
      <c r="F636">
        <v>9</v>
      </c>
    </row>
    <row r="637" spans="1:6" x14ac:dyDescent="0.25">
      <c r="A637" t="s">
        <v>50</v>
      </c>
      <c r="B637">
        <v>1</v>
      </c>
      <c r="C637" t="s">
        <v>17</v>
      </c>
      <c r="D637" t="s">
        <v>0</v>
      </c>
      <c r="E637" s="8">
        <v>44478</v>
      </c>
      <c r="F637">
        <v>58</v>
      </c>
    </row>
    <row r="638" spans="1:6" x14ac:dyDescent="0.25">
      <c r="A638" t="s">
        <v>50</v>
      </c>
      <c r="B638">
        <v>1</v>
      </c>
      <c r="C638" t="s">
        <v>17</v>
      </c>
      <c r="D638" t="s">
        <v>0</v>
      </c>
      <c r="E638" s="8">
        <v>44480</v>
      </c>
      <c r="F638">
        <v>81</v>
      </c>
    </row>
    <row r="639" spans="1:6" x14ac:dyDescent="0.25">
      <c r="A639" t="s">
        <v>50</v>
      </c>
      <c r="B639">
        <v>1</v>
      </c>
      <c r="C639" t="s">
        <v>17</v>
      </c>
      <c r="D639" t="s">
        <v>0</v>
      </c>
      <c r="E639" s="8">
        <v>44482</v>
      </c>
      <c r="F639">
        <v>23</v>
      </c>
    </row>
    <row r="640" spans="1:6" x14ac:dyDescent="0.25">
      <c r="A640" t="s">
        <v>50</v>
      </c>
      <c r="B640">
        <v>1</v>
      </c>
      <c r="C640" t="s">
        <v>17</v>
      </c>
      <c r="D640" t="s">
        <v>0</v>
      </c>
      <c r="E640" s="8">
        <v>44484</v>
      </c>
      <c r="F640">
        <v>142</v>
      </c>
    </row>
    <row r="641" spans="1:6" x14ac:dyDescent="0.25">
      <c r="A641" t="s">
        <v>50</v>
      </c>
      <c r="B641">
        <v>1</v>
      </c>
      <c r="C641" t="s">
        <v>17</v>
      </c>
      <c r="D641" t="s">
        <v>0</v>
      </c>
      <c r="E641" s="8">
        <v>44485</v>
      </c>
      <c r="F641">
        <v>31</v>
      </c>
    </row>
    <row r="642" spans="1:6" x14ac:dyDescent="0.25">
      <c r="A642" t="s">
        <v>50</v>
      </c>
      <c r="B642">
        <v>1</v>
      </c>
      <c r="C642" t="s">
        <v>17</v>
      </c>
      <c r="D642" t="s">
        <v>0</v>
      </c>
      <c r="E642" s="8">
        <v>44486</v>
      </c>
      <c r="F642">
        <v>30</v>
      </c>
    </row>
    <row r="643" spans="1:6" x14ac:dyDescent="0.25">
      <c r="A643" t="s">
        <v>50</v>
      </c>
      <c r="B643">
        <v>1</v>
      </c>
      <c r="C643" t="s">
        <v>17</v>
      </c>
      <c r="D643" t="s">
        <v>0</v>
      </c>
      <c r="E643" s="8">
        <v>44489</v>
      </c>
      <c r="F643">
        <v>51</v>
      </c>
    </row>
    <row r="644" spans="1:6" x14ac:dyDescent="0.25">
      <c r="A644" t="s">
        <v>50</v>
      </c>
      <c r="B644">
        <v>1</v>
      </c>
      <c r="C644" t="s">
        <v>17</v>
      </c>
      <c r="D644" t="s">
        <v>0</v>
      </c>
      <c r="E644" s="8">
        <v>44490</v>
      </c>
      <c r="F644">
        <v>16</v>
      </c>
    </row>
    <row r="645" spans="1:6" x14ac:dyDescent="0.25">
      <c r="A645" t="s">
        <v>50</v>
      </c>
      <c r="B645">
        <v>1</v>
      </c>
      <c r="C645" t="s">
        <v>17</v>
      </c>
      <c r="D645" t="s">
        <v>0</v>
      </c>
      <c r="E645" s="8">
        <v>44491</v>
      </c>
      <c r="F645">
        <v>32</v>
      </c>
    </row>
    <row r="646" spans="1:6" x14ac:dyDescent="0.25">
      <c r="A646" t="s">
        <v>50</v>
      </c>
      <c r="B646">
        <v>1</v>
      </c>
      <c r="C646" t="s">
        <v>17</v>
      </c>
      <c r="D646" t="s">
        <v>0</v>
      </c>
      <c r="E646" s="8">
        <v>44492</v>
      </c>
      <c r="F646">
        <v>149</v>
      </c>
    </row>
    <row r="647" spans="1:6" x14ac:dyDescent="0.25">
      <c r="A647" t="s">
        <v>50</v>
      </c>
      <c r="B647">
        <v>1</v>
      </c>
      <c r="C647" t="s">
        <v>17</v>
      </c>
      <c r="D647" t="s">
        <v>0</v>
      </c>
      <c r="E647" s="8">
        <v>44493</v>
      </c>
      <c r="F647">
        <v>46</v>
      </c>
    </row>
    <row r="648" spans="1:6" x14ac:dyDescent="0.25">
      <c r="A648" t="s">
        <v>50</v>
      </c>
      <c r="B648">
        <v>1</v>
      </c>
      <c r="C648" t="s">
        <v>17</v>
      </c>
      <c r="D648" t="s">
        <v>1</v>
      </c>
      <c r="E648" s="8">
        <v>44398</v>
      </c>
      <c r="F648">
        <v>182</v>
      </c>
    </row>
    <row r="649" spans="1:6" x14ac:dyDescent="0.25">
      <c r="A649" t="s">
        <v>50</v>
      </c>
      <c r="B649">
        <v>1</v>
      </c>
      <c r="C649" t="s">
        <v>17</v>
      </c>
      <c r="D649" t="s">
        <v>1</v>
      </c>
      <c r="E649" s="8">
        <v>44399</v>
      </c>
      <c r="F649">
        <v>134</v>
      </c>
    </row>
    <row r="650" spans="1:6" x14ac:dyDescent="0.25">
      <c r="A650" t="s">
        <v>50</v>
      </c>
      <c r="B650">
        <v>1</v>
      </c>
      <c r="C650" t="s">
        <v>17</v>
      </c>
      <c r="D650" t="s">
        <v>1</v>
      </c>
      <c r="E650" s="8">
        <v>44400</v>
      </c>
      <c r="F650">
        <v>213</v>
      </c>
    </row>
    <row r="651" spans="1:6" x14ac:dyDescent="0.25">
      <c r="A651" t="s">
        <v>50</v>
      </c>
      <c r="B651">
        <v>1</v>
      </c>
      <c r="C651" t="s">
        <v>17</v>
      </c>
      <c r="D651" t="s">
        <v>1</v>
      </c>
      <c r="E651" s="8">
        <v>44401</v>
      </c>
      <c r="F651">
        <v>272</v>
      </c>
    </row>
    <row r="652" spans="1:6" x14ac:dyDescent="0.25">
      <c r="A652" t="s">
        <v>50</v>
      </c>
      <c r="B652">
        <v>1</v>
      </c>
      <c r="C652" t="s">
        <v>17</v>
      </c>
      <c r="D652" t="s">
        <v>1</v>
      </c>
      <c r="E652" s="8">
        <v>44402</v>
      </c>
      <c r="F652">
        <v>135</v>
      </c>
    </row>
    <row r="653" spans="1:6" x14ac:dyDescent="0.25">
      <c r="A653" t="s">
        <v>50</v>
      </c>
      <c r="B653">
        <v>1</v>
      </c>
      <c r="C653" t="s">
        <v>17</v>
      </c>
      <c r="D653" t="s">
        <v>1</v>
      </c>
      <c r="E653" s="8">
        <v>44403</v>
      </c>
      <c r="F653">
        <v>174</v>
      </c>
    </row>
    <row r="654" spans="1:6" x14ac:dyDescent="0.25">
      <c r="A654" t="s">
        <v>50</v>
      </c>
      <c r="B654">
        <v>1</v>
      </c>
      <c r="C654" t="s">
        <v>17</v>
      </c>
      <c r="D654" t="s">
        <v>1</v>
      </c>
      <c r="E654" s="8">
        <v>44404</v>
      </c>
      <c r="F654">
        <v>48</v>
      </c>
    </row>
    <row r="655" spans="1:6" x14ac:dyDescent="0.25">
      <c r="A655" t="s">
        <v>50</v>
      </c>
      <c r="B655">
        <v>1</v>
      </c>
      <c r="C655" t="s">
        <v>17</v>
      </c>
      <c r="D655" t="s">
        <v>1</v>
      </c>
      <c r="E655" s="8">
        <v>44478</v>
      </c>
      <c r="F655">
        <v>1</v>
      </c>
    </row>
    <row r="656" spans="1:6" x14ac:dyDescent="0.25">
      <c r="A656" t="s">
        <v>50</v>
      </c>
      <c r="B656">
        <v>1</v>
      </c>
      <c r="C656" t="s">
        <v>17</v>
      </c>
      <c r="D656" t="s">
        <v>1</v>
      </c>
      <c r="E656" s="8">
        <v>44607</v>
      </c>
      <c r="F656">
        <v>11</v>
      </c>
    </row>
    <row r="657" spans="1:6" x14ac:dyDescent="0.25">
      <c r="A657" t="s">
        <v>50</v>
      </c>
      <c r="B657">
        <v>1</v>
      </c>
      <c r="C657" t="s">
        <v>18</v>
      </c>
      <c r="D657" t="s">
        <v>1</v>
      </c>
      <c r="E657" s="8">
        <v>44442</v>
      </c>
      <c r="F657">
        <v>37</v>
      </c>
    </row>
    <row r="658" spans="1:6" x14ac:dyDescent="0.25">
      <c r="A658" t="s">
        <v>50</v>
      </c>
      <c r="B658">
        <v>1</v>
      </c>
      <c r="C658" t="s">
        <v>18</v>
      </c>
      <c r="D658" t="s">
        <v>1</v>
      </c>
      <c r="E658" s="8">
        <v>44443</v>
      </c>
      <c r="F658">
        <v>31</v>
      </c>
    </row>
    <row r="659" spans="1:6" x14ac:dyDescent="0.25">
      <c r="A659" t="s">
        <v>50</v>
      </c>
      <c r="B659">
        <v>1</v>
      </c>
      <c r="C659" t="s">
        <v>18</v>
      </c>
      <c r="D659" t="s">
        <v>1</v>
      </c>
      <c r="E659" s="8">
        <v>44444</v>
      </c>
      <c r="F659">
        <v>131</v>
      </c>
    </row>
    <row r="660" spans="1:6" x14ac:dyDescent="0.25">
      <c r="A660" t="s">
        <v>50</v>
      </c>
      <c r="B660">
        <v>1</v>
      </c>
      <c r="C660" t="s">
        <v>18</v>
      </c>
      <c r="D660" t="s">
        <v>1</v>
      </c>
      <c r="E660" s="8">
        <v>44453</v>
      </c>
      <c r="F660">
        <v>119</v>
      </c>
    </row>
    <row r="661" spans="1:6" x14ac:dyDescent="0.25">
      <c r="A661" t="s">
        <v>50</v>
      </c>
      <c r="B661">
        <v>1</v>
      </c>
      <c r="C661" t="s">
        <v>18</v>
      </c>
      <c r="D661" t="s">
        <v>1</v>
      </c>
      <c r="E661" s="8">
        <v>44454</v>
      </c>
      <c r="F661">
        <v>158</v>
      </c>
    </row>
    <row r="662" spans="1:6" x14ac:dyDescent="0.25">
      <c r="A662" t="s">
        <v>50</v>
      </c>
      <c r="B662">
        <v>1</v>
      </c>
      <c r="C662" t="s">
        <v>18</v>
      </c>
      <c r="D662" t="s">
        <v>1</v>
      </c>
      <c r="E662" s="8">
        <v>44455</v>
      </c>
      <c r="F662">
        <v>154</v>
      </c>
    </row>
    <row r="663" spans="1:6" x14ac:dyDescent="0.25">
      <c r="A663" t="s">
        <v>50</v>
      </c>
      <c r="B663">
        <v>1</v>
      </c>
      <c r="C663" t="s">
        <v>18</v>
      </c>
      <c r="D663" t="s">
        <v>1</v>
      </c>
      <c r="E663" s="8">
        <v>44456</v>
      </c>
      <c r="F663">
        <v>234</v>
      </c>
    </row>
    <row r="664" spans="1:6" x14ac:dyDescent="0.25">
      <c r="A664" t="s">
        <v>50</v>
      </c>
      <c r="B664">
        <v>1</v>
      </c>
      <c r="C664" t="s">
        <v>18</v>
      </c>
      <c r="D664" t="s">
        <v>1</v>
      </c>
      <c r="E664" s="8">
        <v>44457</v>
      </c>
      <c r="F664">
        <v>86</v>
      </c>
    </row>
    <row r="665" spans="1:6" x14ac:dyDescent="0.25">
      <c r="A665" t="s">
        <v>50</v>
      </c>
      <c r="B665">
        <v>1</v>
      </c>
      <c r="C665" t="s">
        <v>18</v>
      </c>
      <c r="D665" t="s">
        <v>1</v>
      </c>
      <c r="E665" s="8">
        <v>44458</v>
      </c>
      <c r="F665">
        <v>243</v>
      </c>
    </row>
    <row r="666" spans="1:6" x14ac:dyDescent="0.25">
      <c r="A666" t="s">
        <v>50</v>
      </c>
      <c r="B666">
        <v>1</v>
      </c>
      <c r="C666" t="s">
        <v>18</v>
      </c>
      <c r="D666" t="s">
        <v>1</v>
      </c>
      <c r="E666" s="8">
        <v>44459</v>
      </c>
      <c r="F666">
        <v>184</v>
      </c>
    </row>
    <row r="667" spans="1:6" x14ac:dyDescent="0.25">
      <c r="A667" t="s">
        <v>50</v>
      </c>
      <c r="B667">
        <v>1</v>
      </c>
      <c r="C667" t="s">
        <v>18</v>
      </c>
      <c r="D667" t="s">
        <v>1</v>
      </c>
      <c r="E667" s="8">
        <v>44460</v>
      </c>
      <c r="F667">
        <v>278</v>
      </c>
    </row>
    <row r="668" spans="1:6" x14ac:dyDescent="0.25">
      <c r="A668" t="s">
        <v>50</v>
      </c>
      <c r="B668">
        <v>1</v>
      </c>
      <c r="C668" t="s">
        <v>18</v>
      </c>
      <c r="D668" t="s">
        <v>1</v>
      </c>
      <c r="E668" s="8">
        <v>44461</v>
      </c>
      <c r="F668">
        <v>162</v>
      </c>
    </row>
    <row r="669" spans="1:6" x14ac:dyDescent="0.25">
      <c r="A669" t="s">
        <v>50</v>
      </c>
      <c r="B669">
        <v>1</v>
      </c>
      <c r="C669" t="s">
        <v>18</v>
      </c>
      <c r="D669" t="s">
        <v>1</v>
      </c>
      <c r="E669" s="8">
        <v>44462</v>
      </c>
      <c r="F669">
        <v>78</v>
      </c>
    </row>
    <row r="670" spans="1:6" x14ac:dyDescent="0.25">
      <c r="A670" t="s">
        <v>50</v>
      </c>
      <c r="B670">
        <v>1</v>
      </c>
      <c r="C670" t="s">
        <v>19</v>
      </c>
      <c r="D670" t="s">
        <v>1</v>
      </c>
      <c r="E670" s="8">
        <v>44430</v>
      </c>
      <c r="F670">
        <v>89</v>
      </c>
    </row>
    <row r="671" spans="1:6" x14ac:dyDescent="0.25">
      <c r="A671" t="s">
        <v>50</v>
      </c>
      <c r="B671">
        <v>1</v>
      </c>
      <c r="C671" t="s">
        <v>19</v>
      </c>
      <c r="D671" t="s">
        <v>1</v>
      </c>
      <c r="E671" s="8">
        <v>44431</v>
      </c>
      <c r="F671">
        <v>156</v>
      </c>
    </row>
    <row r="672" spans="1:6" x14ac:dyDescent="0.25">
      <c r="A672" t="s">
        <v>50</v>
      </c>
      <c r="B672">
        <v>1</v>
      </c>
      <c r="C672" t="s">
        <v>19</v>
      </c>
      <c r="D672" t="s">
        <v>1</v>
      </c>
      <c r="E672" s="8">
        <v>44432</v>
      </c>
      <c r="F672">
        <v>147</v>
      </c>
    </row>
    <row r="673" spans="1:6" x14ac:dyDescent="0.25">
      <c r="A673" t="s">
        <v>50</v>
      </c>
      <c r="B673">
        <v>1</v>
      </c>
      <c r="C673" t="s">
        <v>19</v>
      </c>
      <c r="D673" t="s">
        <v>1</v>
      </c>
      <c r="E673" s="8">
        <v>44433</v>
      </c>
      <c r="F673">
        <v>221</v>
      </c>
    </row>
    <row r="674" spans="1:6" x14ac:dyDescent="0.25">
      <c r="A674" t="s">
        <v>50</v>
      </c>
      <c r="B674">
        <v>1</v>
      </c>
      <c r="C674" t="s">
        <v>19</v>
      </c>
      <c r="D674" t="s">
        <v>1</v>
      </c>
      <c r="E674" s="8">
        <v>44434</v>
      </c>
      <c r="F674">
        <v>139</v>
      </c>
    </row>
    <row r="675" spans="1:6" x14ac:dyDescent="0.25">
      <c r="A675" t="s">
        <v>50</v>
      </c>
      <c r="B675">
        <v>1</v>
      </c>
      <c r="C675" t="s">
        <v>19</v>
      </c>
      <c r="D675" t="s">
        <v>1</v>
      </c>
      <c r="E675" s="8">
        <v>44435</v>
      </c>
      <c r="F675">
        <v>109</v>
      </c>
    </row>
    <row r="676" spans="1:6" x14ac:dyDescent="0.25">
      <c r="A676" t="s">
        <v>50</v>
      </c>
      <c r="B676">
        <v>1</v>
      </c>
      <c r="C676" t="s">
        <v>19</v>
      </c>
      <c r="D676" t="s">
        <v>1</v>
      </c>
      <c r="E676" s="8">
        <v>44436</v>
      </c>
      <c r="F676">
        <v>137</v>
      </c>
    </row>
    <row r="677" spans="1:6" x14ac:dyDescent="0.25">
      <c r="A677" t="s">
        <v>50</v>
      </c>
      <c r="B677">
        <v>1</v>
      </c>
      <c r="C677" t="s">
        <v>19</v>
      </c>
      <c r="D677" t="s">
        <v>1</v>
      </c>
      <c r="E677" s="8">
        <v>44437</v>
      </c>
      <c r="F677">
        <v>171</v>
      </c>
    </row>
    <row r="678" spans="1:6" x14ac:dyDescent="0.25">
      <c r="A678" t="s">
        <v>50</v>
      </c>
      <c r="B678">
        <v>1</v>
      </c>
      <c r="C678" t="s">
        <v>20</v>
      </c>
      <c r="D678" t="s">
        <v>1</v>
      </c>
      <c r="E678" s="8">
        <v>44386</v>
      </c>
      <c r="F678">
        <v>165</v>
      </c>
    </row>
    <row r="679" spans="1:6" x14ac:dyDescent="0.25">
      <c r="A679" t="s">
        <v>50</v>
      </c>
      <c r="B679">
        <v>1</v>
      </c>
      <c r="C679" t="s">
        <v>20</v>
      </c>
      <c r="D679" t="s">
        <v>1</v>
      </c>
      <c r="E679" s="8">
        <v>44387</v>
      </c>
      <c r="F679">
        <v>254</v>
      </c>
    </row>
    <row r="680" spans="1:6" x14ac:dyDescent="0.25">
      <c r="A680" t="s">
        <v>50</v>
      </c>
      <c r="B680">
        <v>1</v>
      </c>
      <c r="C680" t="s">
        <v>20</v>
      </c>
      <c r="D680" t="s">
        <v>1</v>
      </c>
      <c r="E680" s="8">
        <v>44388</v>
      </c>
      <c r="F680">
        <v>39</v>
      </c>
    </row>
    <row r="681" spans="1:6" x14ac:dyDescent="0.25">
      <c r="A681" t="s">
        <v>50</v>
      </c>
      <c r="B681">
        <v>1</v>
      </c>
      <c r="C681" t="s">
        <v>20</v>
      </c>
      <c r="D681" t="s">
        <v>1</v>
      </c>
      <c r="E681" s="8">
        <v>44389</v>
      </c>
      <c r="F681">
        <v>142</v>
      </c>
    </row>
    <row r="682" spans="1:6" x14ac:dyDescent="0.25">
      <c r="A682" t="s">
        <v>50</v>
      </c>
      <c r="B682">
        <v>1</v>
      </c>
      <c r="C682" t="s">
        <v>20</v>
      </c>
      <c r="D682" t="s">
        <v>1</v>
      </c>
      <c r="E682" s="8">
        <v>44390</v>
      </c>
      <c r="F682">
        <v>145</v>
      </c>
    </row>
    <row r="683" spans="1:6" x14ac:dyDescent="0.25">
      <c r="A683" t="s">
        <v>50</v>
      </c>
      <c r="B683">
        <v>1</v>
      </c>
      <c r="C683" t="s">
        <v>20</v>
      </c>
      <c r="D683" t="s">
        <v>1</v>
      </c>
      <c r="E683" s="8">
        <v>44391</v>
      </c>
      <c r="F683">
        <v>77</v>
      </c>
    </row>
    <row r="684" spans="1:6" x14ac:dyDescent="0.25">
      <c r="A684" t="s">
        <v>50</v>
      </c>
      <c r="B684">
        <v>1</v>
      </c>
      <c r="C684" t="s">
        <v>20</v>
      </c>
      <c r="D684" t="s">
        <v>1</v>
      </c>
      <c r="E684" s="8">
        <v>44392</v>
      </c>
      <c r="F684">
        <v>55</v>
      </c>
    </row>
    <row r="685" spans="1:6" x14ac:dyDescent="0.25">
      <c r="A685" t="s">
        <v>50</v>
      </c>
      <c r="B685">
        <v>1</v>
      </c>
      <c r="C685" t="s">
        <v>20</v>
      </c>
      <c r="D685" t="s">
        <v>1</v>
      </c>
      <c r="E685" s="8">
        <v>44393</v>
      </c>
      <c r="F685">
        <v>158</v>
      </c>
    </row>
    <row r="686" spans="1:6" x14ac:dyDescent="0.25">
      <c r="A686" t="s">
        <v>50</v>
      </c>
      <c r="B686">
        <v>1</v>
      </c>
      <c r="C686" t="s">
        <v>20</v>
      </c>
      <c r="D686" t="s">
        <v>1</v>
      </c>
      <c r="E686" s="8">
        <v>44394</v>
      </c>
      <c r="F686">
        <v>129</v>
      </c>
    </row>
    <row r="687" spans="1:6" x14ac:dyDescent="0.25">
      <c r="A687" t="s">
        <v>50</v>
      </c>
      <c r="B687">
        <v>1</v>
      </c>
      <c r="C687" t="s">
        <v>20</v>
      </c>
      <c r="D687" t="s">
        <v>1</v>
      </c>
      <c r="E687" s="8">
        <v>44395</v>
      </c>
      <c r="F687">
        <v>135</v>
      </c>
    </row>
    <row r="688" spans="1:6" x14ac:dyDescent="0.25">
      <c r="A688" t="s">
        <v>50</v>
      </c>
      <c r="B688">
        <v>1</v>
      </c>
      <c r="C688" t="s">
        <v>20</v>
      </c>
      <c r="D688" t="s">
        <v>1</v>
      </c>
      <c r="E688" s="8">
        <v>44396</v>
      </c>
      <c r="F688">
        <v>178</v>
      </c>
    </row>
    <row r="689" spans="1:6" x14ac:dyDescent="0.25">
      <c r="A689" t="s">
        <v>50</v>
      </c>
      <c r="B689">
        <v>1</v>
      </c>
      <c r="C689" t="s">
        <v>20</v>
      </c>
      <c r="D689" t="s">
        <v>1</v>
      </c>
      <c r="E689" s="8">
        <v>44397</v>
      </c>
      <c r="F689">
        <v>181</v>
      </c>
    </row>
    <row r="690" spans="1:6" x14ac:dyDescent="0.25">
      <c r="A690" t="s">
        <v>50</v>
      </c>
      <c r="B690">
        <v>2</v>
      </c>
      <c r="C690" t="s">
        <v>22</v>
      </c>
      <c r="D690" t="s">
        <v>2</v>
      </c>
      <c r="E690" s="8">
        <v>44488</v>
      </c>
      <c r="F690">
        <v>95</v>
      </c>
    </row>
    <row r="691" spans="1:6" x14ac:dyDescent="0.25">
      <c r="A691" t="s">
        <v>50</v>
      </c>
      <c r="B691">
        <v>2</v>
      </c>
      <c r="C691" t="s">
        <v>22</v>
      </c>
      <c r="D691" t="s">
        <v>2</v>
      </c>
      <c r="E691" s="8">
        <v>44489</v>
      </c>
      <c r="F691">
        <v>98</v>
      </c>
    </row>
    <row r="692" spans="1:6" x14ac:dyDescent="0.25">
      <c r="A692" t="s">
        <v>50</v>
      </c>
      <c r="B692">
        <v>2</v>
      </c>
      <c r="C692" t="s">
        <v>22</v>
      </c>
      <c r="D692" t="s">
        <v>2</v>
      </c>
      <c r="E692" s="8">
        <v>44490</v>
      </c>
      <c r="F692">
        <v>194</v>
      </c>
    </row>
    <row r="693" spans="1:6" x14ac:dyDescent="0.25">
      <c r="A693" t="s">
        <v>50</v>
      </c>
      <c r="B693">
        <v>2</v>
      </c>
      <c r="C693" t="s">
        <v>22</v>
      </c>
      <c r="D693" t="s">
        <v>2</v>
      </c>
      <c r="E693" s="8">
        <v>44491</v>
      </c>
      <c r="F693">
        <v>18</v>
      </c>
    </row>
    <row r="694" spans="1:6" x14ac:dyDescent="0.25">
      <c r="A694" t="s">
        <v>50</v>
      </c>
      <c r="B694">
        <v>2</v>
      </c>
      <c r="C694" t="s">
        <v>22</v>
      </c>
      <c r="D694" t="s">
        <v>2</v>
      </c>
      <c r="E694" s="8">
        <v>44520</v>
      </c>
      <c r="F694">
        <v>237</v>
      </c>
    </row>
    <row r="695" spans="1:6" x14ac:dyDescent="0.25">
      <c r="A695" t="s">
        <v>50</v>
      </c>
      <c r="B695">
        <v>2</v>
      </c>
      <c r="C695" t="s">
        <v>22</v>
      </c>
      <c r="D695" t="s">
        <v>2</v>
      </c>
      <c r="E695" s="8">
        <v>44521</v>
      </c>
      <c r="F695">
        <v>166</v>
      </c>
    </row>
    <row r="696" spans="1:6" x14ac:dyDescent="0.25">
      <c r="A696" t="s">
        <v>50</v>
      </c>
      <c r="B696">
        <v>2</v>
      </c>
      <c r="C696" t="s">
        <v>22</v>
      </c>
      <c r="D696" t="s">
        <v>2</v>
      </c>
      <c r="E696" s="8">
        <v>44522</v>
      </c>
      <c r="F696">
        <v>118</v>
      </c>
    </row>
    <row r="697" spans="1:6" x14ac:dyDescent="0.25">
      <c r="A697" t="s">
        <v>50</v>
      </c>
      <c r="B697">
        <v>2</v>
      </c>
      <c r="C697" t="s">
        <v>23</v>
      </c>
      <c r="D697" t="s">
        <v>2</v>
      </c>
      <c r="E697" s="8">
        <v>44391</v>
      </c>
      <c r="F697">
        <v>79</v>
      </c>
    </row>
    <row r="698" spans="1:6" x14ac:dyDescent="0.25">
      <c r="A698" t="s">
        <v>50</v>
      </c>
      <c r="B698">
        <v>2</v>
      </c>
      <c r="C698" t="s">
        <v>23</v>
      </c>
      <c r="D698" t="s">
        <v>2</v>
      </c>
      <c r="E698" s="8">
        <v>44392</v>
      </c>
      <c r="F698">
        <v>64</v>
      </c>
    </row>
    <row r="699" spans="1:6" x14ac:dyDescent="0.25">
      <c r="A699" t="s">
        <v>50</v>
      </c>
      <c r="B699">
        <v>2</v>
      </c>
      <c r="C699" t="s">
        <v>23</v>
      </c>
      <c r="D699" t="s">
        <v>2</v>
      </c>
      <c r="E699" s="8">
        <v>44393</v>
      </c>
      <c r="F699">
        <v>113</v>
      </c>
    </row>
    <row r="700" spans="1:6" x14ac:dyDescent="0.25">
      <c r="A700" t="s">
        <v>50</v>
      </c>
      <c r="B700">
        <v>2</v>
      </c>
      <c r="C700" t="s">
        <v>23</v>
      </c>
      <c r="D700" t="s">
        <v>2</v>
      </c>
      <c r="E700" s="8">
        <v>44394</v>
      </c>
      <c r="F700">
        <v>52</v>
      </c>
    </row>
    <row r="701" spans="1:6" x14ac:dyDescent="0.25">
      <c r="A701" t="s">
        <v>50</v>
      </c>
      <c r="B701">
        <v>2</v>
      </c>
      <c r="C701" t="s">
        <v>23</v>
      </c>
      <c r="D701" t="s">
        <v>2</v>
      </c>
      <c r="E701" s="8">
        <v>44396</v>
      </c>
      <c r="F701">
        <v>105</v>
      </c>
    </row>
    <row r="702" spans="1:6" x14ac:dyDescent="0.25">
      <c r="A702" t="s">
        <v>50</v>
      </c>
      <c r="B702">
        <v>2</v>
      </c>
      <c r="C702" t="s">
        <v>23</v>
      </c>
      <c r="D702" t="s">
        <v>2</v>
      </c>
      <c r="E702" s="8">
        <v>44397</v>
      </c>
      <c r="F702">
        <v>117</v>
      </c>
    </row>
    <row r="703" spans="1:6" x14ac:dyDescent="0.25">
      <c r="A703" t="s">
        <v>50</v>
      </c>
      <c r="B703">
        <v>2</v>
      </c>
      <c r="C703" t="s">
        <v>23</v>
      </c>
      <c r="D703" t="s">
        <v>2</v>
      </c>
      <c r="E703" s="8">
        <v>44399</v>
      </c>
      <c r="F703">
        <v>5</v>
      </c>
    </row>
    <row r="704" spans="1:6" x14ac:dyDescent="0.25">
      <c r="A704" t="s">
        <v>50</v>
      </c>
      <c r="B704">
        <v>2</v>
      </c>
      <c r="C704" t="s">
        <v>23</v>
      </c>
      <c r="D704" t="s">
        <v>2</v>
      </c>
      <c r="E704" s="8">
        <v>44406</v>
      </c>
      <c r="F704">
        <v>129</v>
      </c>
    </row>
    <row r="705" spans="1:6" x14ac:dyDescent="0.25">
      <c r="A705" t="s">
        <v>50</v>
      </c>
      <c r="B705">
        <v>2</v>
      </c>
      <c r="C705" t="s">
        <v>23</v>
      </c>
      <c r="D705" t="s">
        <v>2</v>
      </c>
      <c r="E705" s="8">
        <v>44413</v>
      </c>
      <c r="F705">
        <v>86</v>
      </c>
    </row>
    <row r="706" spans="1:6" x14ac:dyDescent="0.25">
      <c r="A706" t="s">
        <v>50</v>
      </c>
      <c r="B706">
        <v>2</v>
      </c>
      <c r="C706" t="s">
        <v>23</v>
      </c>
      <c r="D706" t="s">
        <v>2</v>
      </c>
      <c r="E706" s="8">
        <v>44414</v>
      </c>
      <c r="F706">
        <v>106</v>
      </c>
    </row>
    <row r="707" spans="1:6" x14ac:dyDescent="0.25">
      <c r="A707" t="s">
        <v>50</v>
      </c>
      <c r="B707">
        <v>2</v>
      </c>
      <c r="C707" t="s">
        <v>23</v>
      </c>
      <c r="D707" t="s">
        <v>2</v>
      </c>
      <c r="E707" s="8">
        <v>44415</v>
      </c>
      <c r="F707">
        <v>207</v>
      </c>
    </row>
    <row r="708" spans="1:6" x14ac:dyDescent="0.25">
      <c r="A708" t="s">
        <v>50</v>
      </c>
      <c r="B708">
        <v>2</v>
      </c>
      <c r="C708" t="s">
        <v>23</v>
      </c>
      <c r="D708" t="s">
        <v>2</v>
      </c>
      <c r="E708" s="8">
        <v>44416</v>
      </c>
      <c r="F708">
        <v>140</v>
      </c>
    </row>
    <row r="709" spans="1:6" x14ac:dyDescent="0.25">
      <c r="A709" t="s">
        <v>50</v>
      </c>
      <c r="B709">
        <v>2</v>
      </c>
      <c r="C709" t="s">
        <v>23</v>
      </c>
      <c r="D709" t="s">
        <v>2</v>
      </c>
      <c r="E709" s="8">
        <v>44418</v>
      </c>
      <c r="F709">
        <v>303</v>
      </c>
    </row>
    <row r="710" spans="1:6" x14ac:dyDescent="0.25">
      <c r="A710" t="s">
        <v>50</v>
      </c>
      <c r="B710">
        <v>2</v>
      </c>
      <c r="C710" t="s">
        <v>23</v>
      </c>
      <c r="D710" t="s">
        <v>2</v>
      </c>
      <c r="E710" s="8">
        <v>44419</v>
      </c>
      <c r="F710">
        <v>128</v>
      </c>
    </row>
    <row r="711" spans="1:6" x14ac:dyDescent="0.25">
      <c r="A711" t="s">
        <v>50</v>
      </c>
      <c r="B711">
        <v>2</v>
      </c>
      <c r="C711" t="s">
        <v>23</v>
      </c>
      <c r="D711" t="s">
        <v>2</v>
      </c>
      <c r="E711" s="8">
        <v>44420</v>
      </c>
      <c r="F711">
        <v>162</v>
      </c>
    </row>
    <row r="712" spans="1:6" x14ac:dyDescent="0.25">
      <c r="A712" t="s">
        <v>50</v>
      </c>
      <c r="B712">
        <v>2</v>
      </c>
      <c r="C712" t="s">
        <v>23</v>
      </c>
      <c r="D712" t="s">
        <v>2</v>
      </c>
      <c r="E712" s="8">
        <v>44421</v>
      </c>
      <c r="F712">
        <v>66</v>
      </c>
    </row>
    <row r="713" spans="1:6" x14ac:dyDescent="0.25">
      <c r="A713" t="s">
        <v>50</v>
      </c>
      <c r="B713">
        <v>2</v>
      </c>
      <c r="C713" t="s">
        <v>23</v>
      </c>
      <c r="D713" t="s">
        <v>2</v>
      </c>
      <c r="E713" s="8">
        <v>44422</v>
      </c>
      <c r="F713">
        <v>253</v>
      </c>
    </row>
    <row r="714" spans="1:6" x14ac:dyDescent="0.25">
      <c r="A714" t="s">
        <v>50</v>
      </c>
      <c r="B714">
        <v>2</v>
      </c>
      <c r="C714" t="s">
        <v>23</v>
      </c>
      <c r="D714" t="s">
        <v>2</v>
      </c>
      <c r="E714" s="8">
        <v>44423</v>
      </c>
      <c r="F714">
        <v>145</v>
      </c>
    </row>
    <row r="715" spans="1:6" x14ac:dyDescent="0.25">
      <c r="A715" t="s">
        <v>50</v>
      </c>
      <c r="B715">
        <v>2</v>
      </c>
      <c r="C715" t="s">
        <v>23</v>
      </c>
      <c r="D715" t="s">
        <v>2</v>
      </c>
      <c r="E715" s="8">
        <v>44424</v>
      </c>
      <c r="F715">
        <v>48</v>
      </c>
    </row>
    <row r="716" spans="1:6" x14ac:dyDescent="0.25">
      <c r="A716" t="s">
        <v>50</v>
      </c>
      <c r="B716">
        <v>2</v>
      </c>
      <c r="C716" t="s">
        <v>23</v>
      </c>
      <c r="D716" t="s">
        <v>2</v>
      </c>
      <c r="E716" s="8">
        <v>44436</v>
      </c>
      <c r="F716">
        <v>1</v>
      </c>
    </row>
    <row r="717" spans="1:6" x14ac:dyDescent="0.25">
      <c r="A717" t="s">
        <v>50</v>
      </c>
      <c r="B717">
        <v>2</v>
      </c>
      <c r="C717" t="s">
        <v>23</v>
      </c>
      <c r="D717" t="s">
        <v>2</v>
      </c>
      <c r="E717" s="8">
        <v>44437</v>
      </c>
      <c r="F717">
        <v>65</v>
      </c>
    </row>
    <row r="718" spans="1:6" x14ac:dyDescent="0.25">
      <c r="A718" t="s">
        <v>50</v>
      </c>
      <c r="B718">
        <v>2</v>
      </c>
      <c r="C718" t="s">
        <v>23</v>
      </c>
      <c r="D718" t="s">
        <v>2</v>
      </c>
      <c r="E718" s="8">
        <v>44438</v>
      </c>
      <c r="F718">
        <v>56</v>
      </c>
    </row>
    <row r="719" spans="1:6" x14ac:dyDescent="0.25">
      <c r="A719" t="s">
        <v>50</v>
      </c>
      <c r="B719">
        <v>2</v>
      </c>
      <c r="C719" t="s">
        <v>23</v>
      </c>
      <c r="D719" t="s">
        <v>2</v>
      </c>
      <c r="E719" s="8">
        <v>44439</v>
      </c>
      <c r="F719">
        <v>266</v>
      </c>
    </row>
    <row r="720" spans="1:6" x14ac:dyDescent="0.25">
      <c r="A720" t="s">
        <v>50</v>
      </c>
      <c r="B720">
        <v>2</v>
      </c>
      <c r="C720" t="s">
        <v>23</v>
      </c>
      <c r="D720" t="s">
        <v>2</v>
      </c>
      <c r="E720" s="8">
        <v>44453</v>
      </c>
      <c r="F720">
        <v>5</v>
      </c>
    </row>
    <row r="721" spans="1:6" x14ac:dyDescent="0.25">
      <c r="A721" t="s">
        <v>50</v>
      </c>
      <c r="B721">
        <v>2</v>
      </c>
      <c r="C721" t="s">
        <v>23</v>
      </c>
      <c r="D721" t="s">
        <v>2</v>
      </c>
      <c r="E721" s="8">
        <v>44468</v>
      </c>
      <c r="F721">
        <v>73</v>
      </c>
    </row>
    <row r="722" spans="1:6" x14ac:dyDescent="0.25">
      <c r="A722" t="s">
        <v>50</v>
      </c>
      <c r="B722">
        <v>2</v>
      </c>
      <c r="C722" t="s">
        <v>23</v>
      </c>
      <c r="D722" t="s">
        <v>2</v>
      </c>
      <c r="E722" s="8">
        <v>44469</v>
      </c>
      <c r="F722">
        <v>47</v>
      </c>
    </row>
    <row r="723" spans="1:6" x14ac:dyDescent="0.25">
      <c r="A723" t="s">
        <v>50</v>
      </c>
      <c r="B723">
        <v>2</v>
      </c>
      <c r="C723" t="s">
        <v>23</v>
      </c>
      <c r="D723" t="s">
        <v>2</v>
      </c>
      <c r="E723" s="8">
        <v>44470</v>
      </c>
      <c r="F723">
        <v>81</v>
      </c>
    </row>
    <row r="724" spans="1:6" x14ac:dyDescent="0.25">
      <c r="A724" t="s">
        <v>50</v>
      </c>
      <c r="B724">
        <v>2</v>
      </c>
      <c r="C724" t="s">
        <v>23</v>
      </c>
      <c r="D724" t="s">
        <v>2</v>
      </c>
      <c r="E724" s="8">
        <v>44473</v>
      </c>
      <c r="F724">
        <v>201</v>
      </c>
    </row>
    <row r="725" spans="1:6" x14ac:dyDescent="0.25">
      <c r="A725" t="s">
        <v>50</v>
      </c>
      <c r="B725">
        <v>2</v>
      </c>
      <c r="C725" t="s">
        <v>23</v>
      </c>
      <c r="D725" t="s">
        <v>2</v>
      </c>
      <c r="E725" s="8">
        <v>44474</v>
      </c>
      <c r="F725">
        <v>202</v>
      </c>
    </row>
    <row r="726" spans="1:6" x14ac:dyDescent="0.25">
      <c r="A726" t="s">
        <v>50</v>
      </c>
      <c r="B726">
        <v>2</v>
      </c>
      <c r="C726" t="s">
        <v>23</v>
      </c>
      <c r="D726" t="s">
        <v>2</v>
      </c>
      <c r="E726" s="8">
        <v>44476</v>
      </c>
      <c r="F726">
        <v>280</v>
      </c>
    </row>
    <row r="727" spans="1:6" x14ac:dyDescent="0.25">
      <c r="A727" t="s">
        <v>50</v>
      </c>
      <c r="B727">
        <v>2</v>
      </c>
      <c r="C727" t="s">
        <v>23</v>
      </c>
      <c r="D727" t="s">
        <v>2</v>
      </c>
      <c r="E727" s="8">
        <v>44477</v>
      </c>
      <c r="F727">
        <v>144</v>
      </c>
    </row>
    <row r="728" spans="1:6" x14ac:dyDescent="0.25">
      <c r="A728" t="s">
        <v>50</v>
      </c>
      <c r="B728">
        <v>2</v>
      </c>
      <c r="C728" t="s">
        <v>23</v>
      </c>
      <c r="D728" t="s">
        <v>2</v>
      </c>
      <c r="E728" s="8">
        <v>44502</v>
      </c>
      <c r="F728">
        <v>75</v>
      </c>
    </row>
    <row r="729" spans="1:6" x14ac:dyDescent="0.25">
      <c r="A729" t="s">
        <v>50</v>
      </c>
      <c r="B729">
        <v>2</v>
      </c>
      <c r="C729" t="s">
        <v>23</v>
      </c>
      <c r="D729" t="s">
        <v>2</v>
      </c>
      <c r="E729" s="8">
        <v>44503</v>
      </c>
      <c r="F729">
        <v>35</v>
      </c>
    </row>
    <row r="730" spans="1:6" x14ac:dyDescent="0.25">
      <c r="A730" t="s">
        <v>50</v>
      </c>
      <c r="B730">
        <v>2</v>
      </c>
      <c r="C730" t="s">
        <v>23</v>
      </c>
      <c r="D730" t="s">
        <v>2</v>
      </c>
      <c r="E730" s="8">
        <v>44504</v>
      </c>
      <c r="F730">
        <v>77</v>
      </c>
    </row>
    <row r="731" spans="1:6" x14ac:dyDescent="0.25">
      <c r="A731" t="s">
        <v>50</v>
      </c>
      <c r="B731">
        <v>2</v>
      </c>
      <c r="C731" t="s">
        <v>23</v>
      </c>
      <c r="D731" t="s">
        <v>2</v>
      </c>
      <c r="E731" s="8">
        <v>44505</v>
      </c>
      <c r="F731">
        <v>128</v>
      </c>
    </row>
    <row r="732" spans="1:6" x14ac:dyDescent="0.25">
      <c r="A732" t="s">
        <v>50</v>
      </c>
      <c r="B732">
        <v>2</v>
      </c>
      <c r="C732" t="s">
        <v>23</v>
      </c>
      <c r="D732" t="s">
        <v>2</v>
      </c>
      <c r="E732" s="8">
        <v>44508</v>
      </c>
      <c r="F732">
        <v>194</v>
      </c>
    </row>
    <row r="733" spans="1:6" x14ac:dyDescent="0.25">
      <c r="A733" t="s">
        <v>50</v>
      </c>
      <c r="B733">
        <v>2</v>
      </c>
      <c r="C733" t="s">
        <v>23</v>
      </c>
      <c r="D733" t="s">
        <v>2</v>
      </c>
      <c r="E733" s="8">
        <v>44509</v>
      </c>
      <c r="F733">
        <v>223</v>
      </c>
    </row>
    <row r="734" spans="1:6" x14ac:dyDescent="0.25">
      <c r="A734" t="s">
        <v>50</v>
      </c>
      <c r="B734">
        <v>2</v>
      </c>
      <c r="C734" t="s">
        <v>23</v>
      </c>
      <c r="D734" t="s">
        <v>2</v>
      </c>
      <c r="E734" s="8">
        <v>44510</v>
      </c>
      <c r="F734">
        <v>155</v>
      </c>
    </row>
    <row r="735" spans="1:6" x14ac:dyDescent="0.25">
      <c r="A735" t="s">
        <v>50</v>
      </c>
      <c r="B735">
        <v>2</v>
      </c>
      <c r="C735" t="s">
        <v>23</v>
      </c>
      <c r="D735" t="s">
        <v>2</v>
      </c>
      <c r="E735" s="8">
        <v>44511</v>
      </c>
      <c r="F735">
        <v>190</v>
      </c>
    </row>
    <row r="736" spans="1:6" x14ac:dyDescent="0.25">
      <c r="A736" t="s">
        <v>50</v>
      </c>
      <c r="B736">
        <v>2</v>
      </c>
      <c r="C736" t="s">
        <v>23</v>
      </c>
      <c r="D736" t="s">
        <v>2</v>
      </c>
      <c r="E736" s="8">
        <v>44512</v>
      </c>
      <c r="F736">
        <v>110</v>
      </c>
    </row>
    <row r="737" spans="1:6" x14ac:dyDescent="0.25">
      <c r="A737" t="s">
        <v>50</v>
      </c>
      <c r="B737">
        <v>2</v>
      </c>
      <c r="C737" t="s">
        <v>23</v>
      </c>
      <c r="D737" t="s">
        <v>2</v>
      </c>
      <c r="E737" s="8">
        <v>44513</v>
      </c>
      <c r="F737">
        <v>146</v>
      </c>
    </row>
    <row r="738" spans="1:6" x14ac:dyDescent="0.25">
      <c r="A738" t="s">
        <v>50</v>
      </c>
      <c r="B738">
        <v>2</v>
      </c>
      <c r="C738" t="s">
        <v>23</v>
      </c>
      <c r="D738" t="s">
        <v>2</v>
      </c>
      <c r="E738" s="8">
        <v>44517</v>
      </c>
      <c r="F738">
        <v>68</v>
      </c>
    </row>
    <row r="739" spans="1:6" x14ac:dyDescent="0.25">
      <c r="A739" t="s">
        <v>50</v>
      </c>
      <c r="B739">
        <v>2</v>
      </c>
      <c r="C739" t="s">
        <v>23</v>
      </c>
      <c r="D739" t="s">
        <v>2</v>
      </c>
      <c r="E739" s="8">
        <v>44519</v>
      </c>
      <c r="F739">
        <v>115</v>
      </c>
    </row>
    <row r="740" spans="1:6" x14ac:dyDescent="0.25">
      <c r="A740" t="s">
        <v>50</v>
      </c>
      <c r="B740">
        <v>2</v>
      </c>
      <c r="C740" t="s">
        <v>23</v>
      </c>
      <c r="D740" t="s">
        <v>2</v>
      </c>
      <c r="E740" s="8">
        <v>44520</v>
      </c>
      <c r="F740">
        <v>261</v>
      </c>
    </row>
    <row r="741" spans="1:6" x14ac:dyDescent="0.25">
      <c r="A741" t="s">
        <v>50</v>
      </c>
      <c r="B741">
        <v>2</v>
      </c>
      <c r="C741" t="s">
        <v>23</v>
      </c>
      <c r="D741" t="s">
        <v>2</v>
      </c>
      <c r="E741" s="8">
        <v>44521</v>
      </c>
      <c r="F741">
        <v>26</v>
      </c>
    </row>
    <row r="742" spans="1:6" x14ac:dyDescent="0.25">
      <c r="A742" t="s">
        <v>50</v>
      </c>
      <c r="B742">
        <v>2</v>
      </c>
      <c r="C742" t="s">
        <v>23</v>
      </c>
      <c r="D742" t="s">
        <v>2</v>
      </c>
      <c r="E742" s="8">
        <v>44522</v>
      </c>
      <c r="F742">
        <v>48</v>
      </c>
    </row>
    <row r="743" spans="1:6" x14ac:dyDescent="0.25">
      <c r="A743" t="s">
        <v>50</v>
      </c>
      <c r="B743">
        <v>2</v>
      </c>
      <c r="C743" t="s">
        <v>23</v>
      </c>
      <c r="D743" t="s">
        <v>2</v>
      </c>
      <c r="E743" s="8">
        <v>44523</v>
      </c>
      <c r="F743">
        <v>184</v>
      </c>
    </row>
    <row r="744" spans="1:6" x14ac:dyDescent="0.25">
      <c r="A744" t="s">
        <v>50</v>
      </c>
      <c r="B744">
        <v>2</v>
      </c>
      <c r="C744" t="s">
        <v>24</v>
      </c>
      <c r="D744" t="s">
        <v>3</v>
      </c>
      <c r="E744" s="8">
        <v>44406</v>
      </c>
      <c r="F744">
        <v>103</v>
      </c>
    </row>
    <row r="745" spans="1:6" x14ac:dyDescent="0.25">
      <c r="A745" t="s">
        <v>50</v>
      </c>
      <c r="B745">
        <v>2</v>
      </c>
      <c r="C745" t="s">
        <v>24</v>
      </c>
      <c r="D745" t="s">
        <v>3</v>
      </c>
      <c r="E745" s="8">
        <v>44420</v>
      </c>
      <c r="F745">
        <v>206</v>
      </c>
    </row>
    <row r="746" spans="1:6" x14ac:dyDescent="0.25">
      <c r="A746" t="s">
        <v>50</v>
      </c>
      <c r="B746">
        <v>2</v>
      </c>
      <c r="C746" t="s">
        <v>24</v>
      </c>
      <c r="D746" t="s">
        <v>3</v>
      </c>
      <c r="E746" s="8">
        <v>44421</v>
      </c>
      <c r="F746">
        <v>296</v>
      </c>
    </row>
    <row r="747" spans="1:6" x14ac:dyDescent="0.25">
      <c r="A747" t="s">
        <v>50</v>
      </c>
      <c r="B747">
        <v>2</v>
      </c>
      <c r="C747" t="s">
        <v>24</v>
      </c>
      <c r="D747" t="s">
        <v>3</v>
      </c>
      <c r="E747" s="8">
        <v>44422</v>
      </c>
      <c r="F747">
        <v>210</v>
      </c>
    </row>
    <row r="748" spans="1:6" x14ac:dyDescent="0.25">
      <c r="A748" t="s">
        <v>50</v>
      </c>
      <c r="B748">
        <v>2</v>
      </c>
      <c r="C748" t="s">
        <v>24</v>
      </c>
      <c r="D748" t="s">
        <v>3</v>
      </c>
      <c r="E748" s="8">
        <v>44425</v>
      </c>
      <c r="F748">
        <v>334</v>
      </c>
    </row>
    <row r="749" spans="1:6" x14ac:dyDescent="0.25">
      <c r="A749" t="s">
        <v>50</v>
      </c>
      <c r="B749">
        <v>2</v>
      </c>
      <c r="C749" t="s">
        <v>24</v>
      </c>
      <c r="D749" t="s">
        <v>3</v>
      </c>
      <c r="E749" s="8">
        <v>44426</v>
      </c>
      <c r="F749">
        <v>220</v>
      </c>
    </row>
    <row r="750" spans="1:6" x14ac:dyDescent="0.25">
      <c r="A750" t="s">
        <v>50</v>
      </c>
      <c r="B750">
        <v>2</v>
      </c>
      <c r="C750" t="s">
        <v>24</v>
      </c>
      <c r="D750" t="s">
        <v>3</v>
      </c>
      <c r="E750" s="8">
        <v>44427</v>
      </c>
      <c r="F750">
        <v>40</v>
      </c>
    </row>
    <row r="751" spans="1:6" x14ac:dyDescent="0.25">
      <c r="A751" t="s">
        <v>50</v>
      </c>
      <c r="B751">
        <v>2</v>
      </c>
      <c r="C751" t="s">
        <v>24</v>
      </c>
      <c r="D751" t="s">
        <v>3</v>
      </c>
      <c r="E751" s="8">
        <v>44428</v>
      </c>
      <c r="F751">
        <v>262</v>
      </c>
    </row>
    <row r="752" spans="1:6" x14ac:dyDescent="0.25">
      <c r="A752" t="s">
        <v>50</v>
      </c>
      <c r="B752">
        <v>2</v>
      </c>
      <c r="C752" t="s">
        <v>24</v>
      </c>
      <c r="D752" t="s">
        <v>3</v>
      </c>
      <c r="E752" s="8">
        <v>44429</v>
      </c>
      <c r="F752">
        <v>32</v>
      </c>
    </row>
    <row r="753" spans="1:6" x14ac:dyDescent="0.25">
      <c r="A753" t="s">
        <v>50</v>
      </c>
      <c r="B753">
        <v>2</v>
      </c>
      <c r="C753" t="s">
        <v>24</v>
      </c>
      <c r="D753" t="s">
        <v>3</v>
      </c>
      <c r="E753" s="8">
        <v>44430</v>
      </c>
      <c r="F753">
        <v>145</v>
      </c>
    </row>
    <row r="754" spans="1:6" x14ac:dyDescent="0.25">
      <c r="A754" t="s">
        <v>50</v>
      </c>
      <c r="B754">
        <v>2</v>
      </c>
      <c r="C754" t="s">
        <v>24</v>
      </c>
      <c r="D754" t="s">
        <v>3</v>
      </c>
      <c r="E754" s="8">
        <v>44431</v>
      </c>
      <c r="F754">
        <v>237</v>
      </c>
    </row>
    <row r="755" spans="1:6" x14ac:dyDescent="0.25">
      <c r="A755" t="s">
        <v>50</v>
      </c>
      <c r="B755">
        <v>2</v>
      </c>
      <c r="C755" t="s">
        <v>24</v>
      </c>
      <c r="D755" t="s">
        <v>3</v>
      </c>
      <c r="E755" s="8">
        <v>44432</v>
      </c>
      <c r="F755">
        <v>95</v>
      </c>
    </row>
    <row r="756" spans="1:6" x14ac:dyDescent="0.25">
      <c r="A756" t="s">
        <v>50</v>
      </c>
      <c r="B756">
        <v>2</v>
      </c>
      <c r="C756" t="s">
        <v>24</v>
      </c>
      <c r="D756" t="s">
        <v>3</v>
      </c>
      <c r="E756" s="8">
        <v>44433</v>
      </c>
      <c r="F756">
        <v>102</v>
      </c>
    </row>
    <row r="757" spans="1:6" x14ac:dyDescent="0.25">
      <c r="A757" t="s">
        <v>50</v>
      </c>
      <c r="B757">
        <v>2</v>
      </c>
      <c r="C757" t="s">
        <v>24</v>
      </c>
      <c r="D757" t="s">
        <v>3</v>
      </c>
      <c r="E757" s="8">
        <v>44434</v>
      </c>
      <c r="F757">
        <v>1</v>
      </c>
    </row>
    <row r="758" spans="1:6" x14ac:dyDescent="0.25">
      <c r="A758" t="s">
        <v>50</v>
      </c>
      <c r="B758">
        <v>2</v>
      </c>
      <c r="C758" t="s">
        <v>24</v>
      </c>
      <c r="D758" t="s">
        <v>3</v>
      </c>
      <c r="E758" s="8">
        <v>44517</v>
      </c>
      <c r="F758">
        <v>13</v>
      </c>
    </row>
    <row r="759" spans="1:6" x14ac:dyDescent="0.25">
      <c r="A759" t="s">
        <v>50</v>
      </c>
      <c r="B759">
        <v>2</v>
      </c>
      <c r="C759" t="s">
        <v>24</v>
      </c>
      <c r="D759" t="s">
        <v>3</v>
      </c>
      <c r="E759" s="8">
        <v>44518</v>
      </c>
      <c r="F759">
        <v>41</v>
      </c>
    </row>
    <row r="760" spans="1:6" x14ac:dyDescent="0.25">
      <c r="A760" t="s">
        <v>50</v>
      </c>
      <c r="B760">
        <v>2</v>
      </c>
      <c r="C760" t="s">
        <v>25</v>
      </c>
      <c r="D760" t="s">
        <v>3</v>
      </c>
      <c r="E760" s="8">
        <v>44473</v>
      </c>
      <c r="F760">
        <v>15</v>
      </c>
    </row>
    <row r="761" spans="1:6" x14ac:dyDescent="0.25">
      <c r="A761" t="s">
        <v>50</v>
      </c>
      <c r="B761">
        <v>2</v>
      </c>
      <c r="C761" t="s">
        <v>25</v>
      </c>
      <c r="D761" t="s">
        <v>3</v>
      </c>
      <c r="E761" s="8">
        <v>44474</v>
      </c>
      <c r="F761">
        <v>183</v>
      </c>
    </row>
    <row r="762" spans="1:6" x14ac:dyDescent="0.25">
      <c r="A762" t="s">
        <v>50</v>
      </c>
      <c r="B762">
        <v>2</v>
      </c>
      <c r="C762" t="s">
        <v>25</v>
      </c>
      <c r="D762" t="s">
        <v>3</v>
      </c>
      <c r="E762" s="8">
        <v>44475</v>
      </c>
      <c r="F762">
        <v>115</v>
      </c>
    </row>
    <row r="763" spans="1:6" x14ac:dyDescent="0.25">
      <c r="A763" t="s">
        <v>50</v>
      </c>
      <c r="B763">
        <v>2</v>
      </c>
      <c r="C763" t="s">
        <v>25</v>
      </c>
      <c r="D763" t="s">
        <v>3</v>
      </c>
      <c r="E763" s="8">
        <v>44476</v>
      </c>
      <c r="F763">
        <v>154</v>
      </c>
    </row>
    <row r="764" spans="1:6" x14ac:dyDescent="0.25">
      <c r="A764" t="s">
        <v>50</v>
      </c>
      <c r="B764">
        <v>2</v>
      </c>
      <c r="C764" t="s">
        <v>25</v>
      </c>
      <c r="D764" t="s">
        <v>3</v>
      </c>
      <c r="E764" s="8">
        <v>44477</v>
      </c>
      <c r="F764">
        <v>188</v>
      </c>
    </row>
    <row r="765" spans="1:6" x14ac:dyDescent="0.25">
      <c r="A765" t="s">
        <v>50</v>
      </c>
      <c r="B765">
        <v>2</v>
      </c>
      <c r="C765" t="s">
        <v>25</v>
      </c>
      <c r="D765" t="s">
        <v>3</v>
      </c>
      <c r="E765" s="8">
        <v>44478</v>
      </c>
      <c r="F765">
        <v>124</v>
      </c>
    </row>
    <row r="766" spans="1:6" x14ac:dyDescent="0.25">
      <c r="A766" t="s">
        <v>50</v>
      </c>
      <c r="B766">
        <v>2</v>
      </c>
      <c r="C766" t="s">
        <v>25</v>
      </c>
      <c r="D766" t="s">
        <v>3</v>
      </c>
      <c r="E766" s="8">
        <v>44479</v>
      </c>
      <c r="F766">
        <v>53</v>
      </c>
    </row>
    <row r="767" spans="1:6" x14ac:dyDescent="0.25">
      <c r="A767" t="s">
        <v>50</v>
      </c>
      <c r="B767">
        <v>2</v>
      </c>
      <c r="C767" t="s">
        <v>25</v>
      </c>
      <c r="D767" t="s">
        <v>3</v>
      </c>
      <c r="E767" s="8">
        <v>44480</v>
      </c>
      <c r="F767">
        <v>206</v>
      </c>
    </row>
    <row r="768" spans="1:6" x14ac:dyDescent="0.25">
      <c r="A768" t="s">
        <v>50</v>
      </c>
      <c r="B768">
        <v>2</v>
      </c>
      <c r="C768" t="s">
        <v>25</v>
      </c>
      <c r="D768" t="s">
        <v>3</v>
      </c>
      <c r="E768" s="8">
        <v>44481</v>
      </c>
      <c r="F768">
        <v>178</v>
      </c>
    </row>
    <row r="769" spans="1:6" x14ac:dyDescent="0.25">
      <c r="A769" t="s">
        <v>50</v>
      </c>
      <c r="B769">
        <v>2</v>
      </c>
      <c r="C769" t="s">
        <v>25</v>
      </c>
      <c r="D769" t="s">
        <v>3</v>
      </c>
      <c r="E769" s="8">
        <v>44485</v>
      </c>
      <c r="F769">
        <v>153</v>
      </c>
    </row>
    <row r="770" spans="1:6" x14ac:dyDescent="0.25">
      <c r="A770" t="s">
        <v>50</v>
      </c>
      <c r="B770">
        <v>2</v>
      </c>
      <c r="C770" t="s">
        <v>25</v>
      </c>
      <c r="D770" t="s">
        <v>3</v>
      </c>
      <c r="E770" s="8">
        <v>44486</v>
      </c>
      <c r="F770">
        <v>231</v>
      </c>
    </row>
    <row r="771" spans="1:6" x14ac:dyDescent="0.25">
      <c r="A771" t="s">
        <v>50</v>
      </c>
      <c r="B771">
        <v>2</v>
      </c>
      <c r="C771" t="s">
        <v>25</v>
      </c>
      <c r="D771" t="s">
        <v>3</v>
      </c>
      <c r="E771" s="8">
        <v>44487</v>
      </c>
      <c r="F771">
        <v>97</v>
      </c>
    </row>
    <row r="772" spans="1:6" x14ac:dyDescent="0.25">
      <c r="A772" t="s">
        <v>50</v>
      </c>
      <c r="B772">
        <v>2</v>
      </c>
      <c r="C772" t="s">
        <v>25</v>
      </c>
      <c r="D772" t="s">
        <v>3</v>
      </c>
      <c r="E772" s="8">
        <v>44489</v>
      </c>
      <c r="F772">
        <v>268</v>
      </c>
    </row>
    <row r="773" spans="1:6" x14ac:dyDescent="0.25">
      <c r="A773" t="s">
        <v>50</v>
      </c>
      <c r="B773">
        <v>2</v>
      </c>
      <c r="C773" t="s">
        <v>25</v>
      </c>
      <c r="D773" t="s">
        <v>3</v>
      </c>
      <c r="E773" s="8">
        <v>44490</v>
      </c>
      <c r="F773">
        <v>15</v>
      </c>
    </row>
    <row r="774" spans="1:6" x14ac:dyDescent="0.25">
      <c r="A774" t="s">
        <v>50</v>
      </c>
      <c r="B774">
        <v>2</v>
      </c>
      <c r="C774" t="s">
        <v>25</v>
      </c>
      <c r="D774" t="s">
        <v>3</v>
      </c>
      <c r="E774" s="8">
        <v>44491</v>
      </c>
      <c r="F774">
        <v>74</v>
      </c>
    </row>
    <row r="775" spans="1:6" x14ac:dyDescent="0.25">
      <c r="A775" t="s">
        <v>50</v>
      </c>
      <c r="B775">
        <v>2</v>
      </c>
      <c r="C775" t="s">
        <v>25</v>
      </c>
      <c r="D775" t="s">
        <v>3</v>
      </c>
      <c r="E775" s="8">
        <v>44492</v>
      </c>
      <c r="F775">
        <v>148</v>
      </c>
    </row>
    <row r="776" spans="1:6" x14ac:dyDescent="0.25">
      <c r="A776" t="s">
        <v>50</v>
      </c>
      <c r="B776">
        <v>2</v>
      </c>
      <c r="C776" t="s">
        <v>25</v>
      </c>
      <c r="D776" t="s">
        <v>3</v>
      </c>
      <c r="E776" s="8">
        <v>44493</v>
      </c>
      <c r="F776">
        <v>240</v>
      </c>
    </row>
    <row r="777" spans="1:6" x14ac:dyDescent="0.25">
      <c r="A777" t="s">
        <v>50</v>
      </c>
      <c r="B777">
        <v>2</v>
      </c>
      <c r="C777" t="s">
        <v>25</v>
      </c>
      <c r="D777" t="s">
        <v>3</v>
      </c>
      <c r="E777" s="8">
        <v>44494</v>
      </c>
      <c r="F777">
        <v>223</v>
      </c>
    </row>
    <row r="778" spans="1:6" x14ac:dyDescent="0.25">
      <c r="A778" t="s">
        <v>50</v>
      </c>
      <c r="B778">
        <v>2</v>
      </c>
      <c r="C778" t="s">
        <v>25</v>
      </c>
      <c r="D778" t="s">
        <v>3</v>
      </c>
      <c r="E778" s="8">
        <v>44495</v>
      </c>
      <c r="F778">
        <v>254</v>
      </c>
    </row>
    <row r="779" spans="1:6" x14ac:dyDescent="0.25">
      <c r="A779" t="s">
        <v>50</v>
      </c>
      <c r="B779">
        <v>2</v>
      </c>
      <c r="C779" t="s">
        <v>25</v>
      </c>
      <c r="D779" t="s">
        <v>3</v>
      </c>
      <c r="E779" s="8">
        <v>44496</v>
      </c>
      <c r="F779">
        <v>266</v>
      </c>
    </row>
    <row r="780" spans="1:6" x14ac:dyDescent="0.25">
      <c r="A780" t="s">
        <v>50</v>
      </c>
      <c r="B780">
        <v>2</v>
      </c>
      <c r="C780" t="s">
        <v>25</v>
      </c>
      <c r="D780" t="s">
        <v>3</v>
      </c>
      <c r="E780" s="8">
        <v>44497</v>
      </c>
      <c r="F780">
        <v>90</v>
      </c>
    </row>
    <row r="781" spans="1:6" x14ac:dyDescent="0.25">
      <c r="A781" t="s">
        <v>50</v>
      </c>
      <c r="B781">
        <v>2</v>
      </c>
      <c r="C781" t="s">
        <v>25</v>
      </c>
      <c r="D781" t="s">
        <v>3</v>
      </c>
      <c r="E781" s="8">
        <v>44570</v>
      </c>
      <c r="F781">
        <v>29</v>
      </c>
    </row>
    <row r="782" spans="1:6" x14ac:dyDescent="0.25">
      <c r="A782" t="s">
        <v>50</v>
      </c>
      <c r="B782">
        <v>2</v>
      </c>
      <c r="C782" t="s">
        <v>25</v>
      </c>
      <c r="D782" t="s">
        <v>3</v>
      </c>
      <c r="E782" s="8">
        <v>44571</v>
      </c>
      <c r="F782">
        <v>1</v>
      </c>
    </row>
    <row r="783" spans="1:6" x14ac:dyDescent="0.25">
      <c r="A783" t="s">
        <v>50</v>
      </c>
      <c r="B783">
        <v>2</v>
      </c>
      <c r="C783" t="s">
        <v>26</v>
      </c>
      <c r="D783" t="s">
        <v>2</v>
      </c>
      <c r="E783" s="8">
        <v>44540</v>
      </c>
      <c r="F783">
        <v>45</v>
      </c>
    </row>
    <row r="784" spans="1:6" x14ac:dyDescent="0.25">
      <c r="A784" t="s">
        <v>50</v>
      </c>
      <c r="B784">
        <v>2</v>
      </c>
      <c r="C784" t="s">
        <v>26</v>
      </c>
      <c r="D784" t="s">
        <v>2</v>
      </c>
      <c r="E784" s="8">
        <v>44541</v>
      </c>
      <c r="F784">
        <v>213</v>
      </c>
    </row>
    <row r="785" spans="1:6" x14ac:dyDescent="0.25">
      <c r="A785" t="s">
        <v>50</v>
      </c>
      <c r="B785">
        <v>2</v>
      </c>
      <c r="C785" t="s">
        <v>26</v>
      </c>
      <c r="D785" t="s">
        <v>2</v>
      </c>
      <c r="E785" s="8">
        <v>44542</v>
      </c>
      <c r="F785">
        <v>328</v>
      </c>
    </row>
    <row r="786" spans="1:6" x14ac:dyDescent="0.25">
      <c r="A786" t="s">
        <v>50</v>
      </c>
      <c r="B786">
        <v>2</v>
      </c>
      <c r="C786" t="s">
        <v>26</v>
      </c>
      <c r="D786" t="s">
        <v>2</v>
      </c>
      <c r="E786" s="8">
        <v>44543</v>
      </c>
      <c r="F786">
        <v>85</v>
      </c>
    </row>
    <row r="787" spans="1:6" x14ac:dyDescent="0.25">
      <c r="A787" t="s">
        <v>50</v>
      </c>
      <c r="B787">
        <v>2</v>
      </c>
      <c r="C787" t="s">
        <v>26</v>
      </c>
      <c r="D787" t="s">
        <v>2</v>
      </c>
      <c r="E787" s="8">
        <v>44544</v>
      </c>
      <c r="F787">
        <v>171</v>
      </c>
    </row>
    <row r="788" spans="1:6" x14ac:dyDescent="0.25">
      <c r="A788" t="s">
        <v>50</v>
      </c>
      <c r="B788">
        <v>2</v>
      </c>
      <c r="C788" t="s">
        <v>26</v>
      </c>
      <c r="D788" t="s">
        <v>2</v>
      </c>
      <c r="E788" s="8">
        <v>44545</v>
      </c>
      <c r="F788">
        <v>238</v>
      </c>
    </row>
    <row r="789" spans="1:6" x14ac:dyDescent="0.25">
      <c r="A789" t="s">
        <v>50</v>
      </c>
      <c r="B789">
        <v>2</v>
      </c>
      <c r="C789" t="s">
        <v>26</v>
      </c>
      <c r="D789" t="s">
        <v>2</v>
      </c>
      <c r="E789" s="8">
        <v>44546</v>
      </c>
      <c r="F789">
        <v>5</v>
      </c>
    </row>
    <row r="790" spans="1:6" x14ac:dyDescent="0.25">
      <c r="A790" t="s">
        <v>50</v>
      </c>
      <c r="B790">
        <v>2</v>
      </c>
      <c r="C790" t="s">
        <v>26</v>
      </c>
      <c r="D790" t="s">
        <v>2</v>
      </c>
      <c r="E790" s="8">
        <v>44547</v>
      </c>
      <c r="F790">
        <v>200</v>
      </c>
    </row>
    <row r="791" spans="1:6" x14ac:dyDescent="0.25">
      <c r="A791" t="s">
        <v>50</v>
      </c>
      <c r="B791">
        <v>2</v>
      </c>
      <c r="C791" t="s">
        <v>26</v>
      </c>
      <c r="D791" t="s">
        <v>2</v>
      </c>
      <c r="E791" s="8">
        <v>44548</v>
      </c>
      <c r="F791">
        <v>244</v>
      </c>
    </row>
    <row r="792" spans="1:6" x14ac:dyDescent="0.25">
      <c r="A792" t="s">
        <v>50</v>
      </c>
      <c r="B792">
        <v>2</v>
      </c>
      <c r="C792" t="s">
        <v>26</v>
      </c>
      <c r="D792" t="s">
        <v>2</v>
      </c>
      <c r="E792" s="8">
        <v>44574</v>
      </c>
      <c r="F792">
        <v>16</v>
      </c>
    </row>
    <row r="793" spans="1:6" x14ac:dyDescent="0.25">
      <c r="A793" t="s">
        <v>50</v>
      </c>
      <c r="B793">
        <v>2</v>
      </c>
      <c r="C793" t="s">
        <v>27</v>
      </c>
      <c r="D793" t="s">
        <v>2</v>
      </c>
      <c r="E793" s="8">
        <v>44523</v>
      </c>
      <c r="F793">
        <v>171</v>
      </c>
    </row>
    <row r="794" spans="1:6" x14ac:dyDescent="0.25">
      <c r="A794" t="s">
        <v>50</v>
      </c>
      <c r="B794">
        <v>2</v>
      </c>
      <c r="C794" t="s">
        <v>27</v>
      </c>
      <c r="D794" t="s">
        <v>2</v>
      </c>
      <c r="E794" s="8">
        <v>44524</v>
      </c>
      <c r="F794">
        <v>133</v>
      </c>
    </row>
    <row r="795" spans="1:6" x14ac:dyDescent="0.25">
      <c r="A795" t="s">
        <v>50</v>
      </c>
      <c r="B795">
        <v>2</v>
      </c>
      <c r="C795" t="s">
        <v>27</v>
      </c>
      <c r="D795" t="s">
        <v>2</v>
      </c>
      <c r="E795" s="8">
        <v>44525</v>
      </c>
      <c r="F795">
        <v>92</v>
      </c>
    </row>
    <row r="796" spans="1:6" x14ac:dyDescent="0.25">
      <c r="A796" t="s">
        <v>50</v>
      </c>
      <c r="B796">
        <v>2</v>
      </c>
      <c r="C796" t="s">
        <v>27</v>
      </c>
      <c r="D796" t="s">
        <v>2</v>
      </c>
      <c r="E796" s="8">
        <v>44526</v>
      </c>
      <c r="F796">
        <v>184</v>
      </c>
    </row>
    <row r="797" spans="1:6" x14ac:dyDescent="0.25">
      <c r="A797" t="s">
        <v>50</v>
      </c>
      <c r="B797">
        <v>2</v>
      </c>
      <c r="C797" t="s">
        <v>27</v>
      </c>
      <c r="D797" t="s">
        <v>2</v>
      </c>
      <c r="E797" s="8">
        <v>44527</v>
      </c>
      <c r="F797">
        <v>125</v>
      </c>
    </row>
    <row r="798" spans="1:6" x14ac:dyDescent="0.25">
      <c r="A798" t="s">
        <v>50</v>
      </c>
      <c r="B798">
        <v>2</v>
      </c>
      <c r="C798" t="s">
        <v>27</v>
      </c>
      <c r="D798" t="s">
        <v>2</v>
      </c>
      <c r="E798" s="8">
        <v>44528</v>
      </c>
      <c r="F798">
        <v>218</v>
      </c>
    </row>
    <row r="799" spans="1:6" x14ac:dyDescent="0.25">
      <c r="A799" t="s">
        <v>50</v>
      </c>
      <c r="B799">
        <v>2</v>
      </c>
      <c r="C799" t="s">
        <v>27</v>
      </c>
      <c r="D799" t="s">
        <v>2</v>
      </c>
      <c r="E799" s="8">
        <v>44529</v>
      </c>
      <c r="F799">
        <v>86</v>
      </c>
    </row>
    <row r="800" spans="1:6" x14ac:dyDescent="0.25">
      <c r="A800" t="s">
        <v>50</v>
      </c>
      <c r="B800">
        <v>2</v>
      </c>
      <c r="C800" t="s">
        <v>27</v>
      </c>
      <c r="D800" t="s">
        <v>2</v>
      </c>
      <c r="E800" s="8">
        <v>44530</v>
      </c>
      <c r="F800">
        <v>91</v>
      </c>
    </row>
    <row r="801" spans="1:6" x14ac:dyDescent="0.25">
      <c r="A801" t="s">
        <v>50</v>
      </c>
      <c r="B801">
        <v>2</v>
      </c>
      <c r="C801" t="s">
        <v>27</v>
      </c>
      <c r="D801" t="s">
        <v>2</v>
      </c>
      <c r="E801" s="8">
        <v>44531</v>
      </c>
      <c r="F801">
        <v>25</v>
      </c>
    </row>
    <row r="802" spans="1:6" x14ac:dyDescent="0.25">
      <c r="A802" t="s">
        <v>50</v>
      </c>
      <c r="B802">
        <v>2</v>
      </c>
      <c r="C802" t="s">
        <v>27</v>
      </c>
      <c r="D802" t="s">
        <v>2</v>
      </c>
      <c r="E802" s="8">
        <v>44532</v>
      </c>
      <c r="F802">
        <v>148</v>
      </c>
    </row>
    <row r="803" spans="1:6" x14ac:dyDescent="0.25">
      <c r="A803" t="s">
        <v>50</v>
      </c>
      <c r="B803">
        <v>2</v>
      </c>
      <c r="C803" t="s">
        <v>27</v>
      </c>
      <c r="D803" t="s">
        <v>2</v>
      </c>
      <c r="E803" s="8">
        <v>44533</v>
      </c>
      <c r="F803">
        <v>239</v>
      </c>
    </row>
    <row r="804" spans="1:6" x14ac:dyDescent="0.25">
      <c r="A804" t="s">
        <v>50</v>
      </c>
      <c r="B804">
        <v>2</v>
      </c>
      <c r="C804" t="s">
        <v>27</v>
      </c>
      <c r="D804" t="s">
        <v>2</v>
      </c>
      <c r="E804" s="8">
        <v>44534</v>
      </c>
      <c r="F804">
        <v>44</v>
      </c>
    </row>
    <row r="805" spans="1:6" x14ac:dyDescent="0.25">
      <c r="A805" t="s">
        <v>50</v>
      </c>
      <c r="B805">
        <v>2</v>
      </c>
      <c r="C805" t="s">
        <v>27</v>
      </c>
      <c r="D805" t="s">
        <v>2</v>
      </c>
      <c r="E805" s="8">
        <v>44535</v>
      </c>
      <c r="F805">
        <v>172</v>
      </c>
    </row>
    <row r="806" spans="1:6" x14ac:dyDescent="0.25">
      <c r="A806" t="s">
        <v>50</v>
      </c>
      <c r="B806">
        <v>2</v>
      </c>
      <c r="C806" t="s">
        <v>27</v>
      </c>
      <c r="D806" t="s">
        <v>2</v>
      </c>
      <c r="E806" s="8">
        <v>44536</v>
      </c>
      <c r="F806">
        <v>181</v>
      </c>
    </row>
    <row r="807" spans="1:6" x14ac:dyDescent="0.25">
      <c r="A807" t="s">
        <v>50</v>
      </c>
      <c r="B807">
        <v>2</v>
      </c>
      <c r="C807" t="s">
        <v>27</v>
      </c>
      <c r="D807" t="s">
        <v>2</v>
      </c>
      <c r="E807" s="8">
        <v>44537</v>
      </c>
      <c r="F807">
        <v>214</v>
      </c>
    </row>
    <row r="808" spans="1:6" x14ac:dyDescent="0.25">
      <c r="A808" t="s">
        <v>50</v>
      </c>
      <c r="B808">
        <v>2</v>
      </c>
      <c r="C808" t="s">
        <v>27</v>
      </c>
      <c r="D808" t="s">
        <v>2</v>
      </c>
      <c r="E808" s="8">
        <v>44538</v>
      </c>
      <c r="F808">
        <v>130</v>
      </c>
    </row>
    <row r="809" spans="1:6" x14ac:dyDescent="0.25">
      <c r="A809" t="s">
        <v>50</v>
      </c>
      <c r="B809">
        <v>2</v>
      </c>
      <c r="C809" t="s">
        <v>27</v>
      </c>
      <c r="D809" t="s">
        <v>2</v>
      </c>
      <c r="E809" s="8">
        <v>44539</v>
      </c>
      <c r="F809">
        <v>26</v>
      </c>
    </row>
    <row r="810" spans="1:6" x14ac:dyDescent="0.25">
      <c r="A810" t="s">
        <v>50</v>
      </c>
      <c r="B810">
        <v>2</v>
      </c>
      <c r="C810" t="s">
        <v>27</v>
      </c>
      <c r="D810" t="s">
        <v>2</v>
      </c>
      <c r="E810" s="8">
        <v>44623</v>
      </c>
      <c r="F810">
        <v>6</v>
      </c>
    </row>
    <row r="811" spans="1:6" x14ac:dyDescent="0.25">
      <c r="A811" t="s">
        <v>50</v>
      </c>
      <c r="B811">
        <v>2</v>
      </c>
      <c r="C811" t="s">
        <v>28</v>
      </c>
      <c r="D811" t="s">
        <v>3</v>
      </c>
      <c r="E811" s="8">
        <v>44435</v>
      </c>
      <c r="F811">
        <v>74</v>
      </c>
    </row>
    <row r="812" spans="1:6" x14ac:dyDescent="0.25">
      <c r="A812" t="s">
        <v>50</v>
      </c>
      <c r="B812">
        <v>2</v>
      </c>
      <c r="C812" t="s">
        <v>28</v>
      </c>
      <c r="D812" t="s">
        <v>3</v>
      </c>
      <c r="E812" s="8">
        <v>44436</v>
      </c>
      <c r="F812">
        <v>134</v>
      </c>
    </row>
    <row r="813" spans="1:6" x14ac:dyDescent="0.25">
      <c r="A813" t="s">
        <v>50</v>
      </c>
      <c r="B813">
        <v>2</v>
      </c>
      <c r="C813" t="s">
        <v>28</v>
      </c>
      <c r="D813" t="s">
        <v>3</v>
      </c>
      <c r="E813" s="8">
        <v>44437</v>
      </c>
      <c r="F813">
        <v>96</v>
      </c>
    </row>
    <row r="814" spans="1:6" x14ac:dyDescent="0.25">
      <c r="A814" t="s">
        <v>50</v>
      </c>
      <c r="B814">
        <v>2</v>
      </c>
      <c r="C814" t="s">
        <v>28</v>
      </c>
      <c r="D814" t="s">
        <v>3</v>
      </c>
      <c r="E814" s="8">
        <v>44438</v>
      </c>
      <c r="F814">
        <v>289</v>
      </c>
    </row>
    <row r="815" spans="1:6" x14ac:dyDescent="0.25">
      <c r="A815" t="s">
        <v>50</v>
      </c>
      <c r="B815">
        <v>2</v>
      </c>
      <c r="C815" t="s">
        <v>28</v>
      </c>
      <c r="D815" t="s">
        <v>3</v>
      </c>
      <c r="E815" s="8">
        <v>44439</v>
      </c>
      <c r="F815">
        <v>171</v>
      </c>
    </row>
    <row r="816" spans="1:6" x14ac:dyDescent="0.25">
      <c r="A816" t="s">
        <v>50</v>
      </c>
      <c r="B816">
        <v>2</v>
      </c>
      <c r="C816" t="s">
        <v>28</v>
      </c>
      <c r="D816" t="s">
        <v>3</v>
      </c>
      <c r="E816" s="8">
        <v>44440</v>
      </c>
      <c r="F816">
        <v>99</v>
      </c>
    </row>
    <row r="817" spans="1:6" x14ac:dyDescent="0.25">
      <c r="A817" t="s">
        <v>50</v>
      </c>
      <c r="B817">
        <v>2</v>
      </c>
      <c r="C817" t="s">
        <v>28</v>
      </c>
      <c r="D817" t="s">
        <v>3</v>
      </c>
      <c r="E817" s="8">
        <v>44441</v>
      </c>
      <c r="F817">
        <v>29</v>
      </c>
    </row>
    <row r="818" spans="1:6" x14ac:dyDescent="0.25">
      <c r="A818" t="s">
        <v>50</v>
      </c>
      <c r="B818">
        <v>2</v>
      </c>
      <c r="C818" t="s">
        <v>28</v>
      </c>
      <c r="D818" t="s">
        <v>3</v>
      </c>
      <c r="E818" s="8">
        <v>44460</v>
      </c>
      <c r="F818">
        <v>112</v>
      </c>
    </row>
    <row r="819" spans="1:6" x14ac:dyDescent="0.25">
      <c r="A819" t="s">
        <v>50</v>
      </c>
      <c r="B819">
        <v>2</v>
      </c>
      <c r="C819" t="s">
        <v>28</v>
      </c>
      <c r="D819" t="s">
        <v>3</v>
      </c>
      <c r="E819" s="8">
        <v>44461</v>
      </c>
      <c r="F819">
        <v>22</v>
      </c>
    </row>
    <row r="820" spans="1:6" x14ac:dyDescent="0.25">
      <c r="A820" t="s">
        <v>50</v>
      </c>
      <c r="B820">
        <v>2</v>
      </c>
      <c r="C820" t="s">
        <v>28</v>
      </c>
      <c r="D820" t="s">
        <v>3</v>
      </c>
      <c r="E820" s="8">
        <v>44463</v>
      </c>
      <c r="F820">
        <v>86</v>
      </c>
    </row>
    <row r="821" spans="1:6" x14ac:dyDescent="0.25">
      <c r="A821" t="s">
        <v>50</v>
      </c>
      <c r="B821">
        <v>2</v>
      </c>
      <c r="C821" t="s">
        <v>28</v>
      </c>
      <c r="D821" t="s">
        <v>3</v>
      </c>
      <c r="E821" s="8">
        <v>44464</v>
      </c>
      <c r="F821">
        <v>22</v>
      </c>
    </row>
    <row r="822" spans="1:6" x14ac:dyDescent="0.25">
      <c r="A822" t="s">
        <v>50</v>
      </c>
      <c r="B822">
        <v>2</v>
      </c>
      <c r="C822" t="s">
        <v>28</v>
      </c>
      <c r="D822" t="s">
        <v>3</v>
      </c>
      <c r="E822" s="8">
        <v>44465</v>
      </c>
      <c r="F822">
        <v>1</v>
      </c>
    </row>
    <row r="823" spans="1:6" x14ac:dyDescent="0.25">
      <c r="A823" t="s">
        <v>50</v>
      </c>
      <c r="B823">
        <v>2</v>
      </c>
      <c r="C823" t="s">
        <v>28</v>
      </c>
      <c r="D823" t="s">
        <v>3</v>
      </c>
      <c r="E823" s="8">
        <v>44466</v>
      </c>
      <c r="F823">
        <v>111</v>
      </c>
    </row>
    <row r="824" spans="1:6" x14ac:dyDescent="0.25">
      <c r="A824" t="s">
        <v>50</v>
      </c>
      <c r="B824">
        <v>2</v>
      </c>
      <c r="C824" t="s">
        <v>28</v>
      </c>
      <c r="D824" t="s">
        <v>3</v>
      </c>
      <c r="E824" s="8">
        <v>44467</v>
      </c>
      <c r="F824">
        <v>26</v>
      </c>
    </row>
    <row r="825" spans="1:6" x14ac:dyDescent="0.25">
      <c r="A825" t="s">
        <v>50</v>
      </c>
      <c r="B825">
        <v>2</v>
      </c>
      <c r="C825" t="s">
        <v>28</v>
      </c>
      <c r="D825" t="s">
        <v>3</v>
      </c>
      <c r="E825" s="8">
        <v>44468</v>
      </c>
      <c r="F825">
        <v>32</v>
      </c>
    </row>
    <row r="826" spans="1:6" x14ac:dyDescent="0.25">
      <c r="A826" t="s">
        <v>50</v>
      </c>
      <c r="B826">
        <v>2</v>
      </c>
      <c r="C826" t="s">
        <v>28</v>
      </c>
      <c r="D826" t="s">
        <v>3</v>
      </c>
      <c r="E826" s="8">
        <v>44498</v>
      </c>
      <c r="F826">
        <v>37</v>
      </c>
    </row>
    <row r="827" spans="1:6" x14ac:dyDescent="0.25">
      <c r="A827" t="s">
        <v>50</v>
      </c>
      <c r="B827">
        <v>2</v>
      </c>
      <c r="C827" t="s">
        <v>28</v>
      </c>
      <c r="D827" t="s">
        <v>3</v>
      </c>
      <c r="E827" s="8">
        <v>44510</v>
      </c>
      <c r="F827">
        <v>160</v>
      </c>
    </row>
    <row r="828" spans="1:6" x14ac:dyDescent="0.25">
      <c r="A828" t="s">
        <v>50</v>
      </c>
      <c r="B828">
        <v>2</v>
      </c>
      <c r="C828" t="s">
        <v>28</v>
      </c>
      <c r="D828" t="s">
        <v>3</v>
      </c>
      <c r="E828" s="8">
        <v>44511</v>
      </c>
      <c r="F828">
        <v>250</v>
      </c>
    </row>
    <row r="829" spans="1:6" x14ac:dyDescent="0.25">
      <c r="A829" t="s">
        <v>50</v>
      </c>
      <c r="B829">
        <v>2</v>
      </c>
      <c r="C829" t="s">
        <v>28</v>
      </c>
      <c r="D829" t="s">
        <v>3</v>
      </c>
      <c r="E829" s="8">
        <v>44512</v>
      </c>
      <c r="F829">
        <v>246</v>
      </c>
    </row>
    <row r="830" spans="1:6" x14ac:dyDescent="0.25">
      <c r="A830" t="s">
        <v>50</v>
      </c>
      <c r="B830">
        <v>2</v>
      </c>
      <c r="C830" t="s">
        <v>28</v>
      </c>
      <c r="D830" t="s">
        <v>3</v>
      </c>
      <c r="E830" s="8">
        <v>44513</v>
      </c>
      <c r="F830">
        <v>281</v>
      </c>
    </row>
    <row r="831" spans="1:6" x14ac:dyDescent="0.25">
      <c r="A831" t="s">
        <v>50</v>
      </c>
      <c r="B831">
        <v>2</v>
      </c>
      <c r="C831" t="s">
        <v>28</v>
      </c>
      <c r="D831" t="s">
        <v>3</v>
      </c>
      <c r="E831" s="8">
        <v>44514</v>
      </c>
      <c r="F831">
        <v>7</v>
      </c>
    </row>
    <row r="832" spans="1:6" x14ac:dyDescent="0.25">
      <c r="A832" t="s">
        <v>50</v>
      </c>
      <c r="B832">
        <v>2</v>
      </c>
      <c r="C832" t="s">
        <v>28</v>
      </c>
      <c r="D832" t="s">
        <v>3</v>
      </c>
      <c r="E832" s="8">
        <v>44515</v>
      </c>
      <c r="F832">
        <v>122</v>
      </c>
    </row>
    <row r="833" spans="1:6" x14ac:dyDescent="0.25">
      <c r="A833" t="s">
        <v>50</v>
      </c>
      <c r="B833">
        <v>2</v>
      </c>
      <c r="C833" t="s">
        <v>28</v>
      </c>
      <c r="D833" t="s">
        <v>3</v>
      </c>
      <c r="E833" s="8">
        <v>44516</v>
      </c>
      <c r="F833">
        <v>58</v>
      </c>
    </row>
    <row r="834" spans="1:6" x14ac:dyDescent="0.25">
      <c r="A834" t="s">
        <v>50</v>
      </c>
      <c r="B834">
        <v>2</v>
      </c>
      <c r="C834" t="s">
        <v>29</v>
      </c>
      <c r="D834" t="s">
        <v>3</v>
      </c>
      <c r="E834" s="8">
        <v>44389</v>
      </c>
      <c r="F834">
        <v>163</v>
      </c>
    </row>
    <row r="835" spans="1:6" x14ac:dyDescent="0.25">
      <c r="A835" t="s">
        <v>50</v>
      </c>
      <c r="B835">
        <v>2</v>
      </c>
      <c r="C835" t="s">
        <v>29</v>
      </c>
      <c r="D835" t="s">
        <v>3</v>
      </c>
      <c r="E835" s="8">
        <v>44393</v>
      </c>
      <c r="F835">
        <v>176</v>
      </c>
    </row>
    <row r="836" spans="1:6" x14ac:dyDescent="0.25">
      <c r="A836" t="s">
        <v>50</v>
      </c>
      <c r="B836">
        <v>2</v>
      </c>
      <c r="C836" t="s">
        <v>29</v>
      </c>
      <c r="D836" t="s">
        <v>3</v>
      </c>
      <c r="E836" s="8">
        <v>44394</v>
      </c>
      <c r="F836">
        <v>71</v>
      </c>
    </row>
    <row r="837" spans="1:6" x14ac:dyDescent="0.25">
      <c r="A837" t="s">
        <v>50</v>
      </c>
      <c r="B837">
        <v>2</v>
      </c>
      <c r="C837" t="s">
        <v>29</v>
      </c>
      <c r="D837" t="s">
        <v>3</v>
      </c>
      <c r="E837" s="8">
        <v>44395</v>
      </c>
      <c r="F837">
        <v>154</v>
      </c>
    </row>
    <row r="838" spans="1:6" x14ac:dyDescent="0.25">
      <c r="A838" t="s">
        <v>50</v>
      </c>
      <c r="B838">
        <v>2</v>
      </c>
      <c r="C838" t="s">
        <v>29</v>
      </c>
      <c r="D838" t="s">
        <v>3</v>
      </c>
      <c r="E838" s="8">
        <v>44396</v>
      </c>
      <c r="F838">
        <v>114</v>
      </c>
    </row>
    <row r="839" spans="1:6" x14ac:dyDescent="0.25">
      <c r="A839" t="s">
        <v>50</v>
      </c>
      <c r="B839">
        <v>2</v>
      </c>
      <c r="C839" t="s">
        <v>29</v>
      </c>
      <c r="D839" t="s">
        <v>3</v>
      </c>
      <c r="E839" s="8">
        <v>44397</v>
      </c>
      <c r="F839">
        <v>198</v>
      </c>
    </row>
    <row r="840" spans="1:6" x14ac:dyDescent="0.25">
      <c r="A840" t="s">
        <v>50</v>
      </c>
      <c r="B840">
        <v>2</v>
      </c>
      <c r="C840" t="s">
        <v>29</v>
      </c>
      <c r="D840" t="s">
        <v>3</v>
      </c>
      <c r="E840" s="8">
        <v>44398</v>
      </c>
      <c r="F840">
        <v>22</v>
      </c>
    </row>
    <row r="841" spans="1:6" x14ac:dyDescent="0.25">
      <c r="A841" t="s">
        <v>50</v>
      </c>
      <c r="B841">
        <v>2</v>
      </c>
      <c r="C841" t="s">
        <v>29</v>
      </c>
      <c r="D841" t="s">
        <v>3</v>
      </c>
      <c r="E841" s="8">
        <v>44399</v>
      </c>
      <c r="F841">
        <v>237</v>
      </c>
    </row>
    <row r="842" spans="1:6" x14ac:dyDescent="0.25">
      <c r="A842" t="s">
        <v>50</v>
      </c>
      <c r="B842">
        <v>2</v>
      </c>
      <c r="C842" t="s">
        <v>29</v>
      </c>
      <c r="D842" t="s">
        <v>3</v>
      </c>
      <c r="E842" s="8">
        <v>44400</v>
      </c>
      <c r="F842">
        <v>16</v>
      </c>
    </row>
    <row r="843" spans="1:6" x14ac:dyDescent="0.25">
      <c r="A843" t="s">
        <v>50</v>
      </c>
      <c r="B843">
        <v>2</v>
      </c>
      <c r="C843" t="s">
        <v>29</v>
      </c>
      <c r="D843" t="s">
        <v>3</v>
      </c>
      <c r="E843" s="8">
        <v>44401</v>
      </c>
      <c r="F843">
        <v>133</v>
      </c>
    </row>
    <row r="844" spans="1:6" x14ac:dyDescent="0.25">
      <c r="A844" t="s">
        <v>50</v>
      </c>
      <c r="B844">
        <v>2</v>
      </c>
      <c r="C844" t="s">
        <v>29</v>
      </c>
      <c r="D844" t="s">
        <v>3</v>
      </c>
      <c r="E844" s="8">
        <v>44402</v>
      </c>
      <c r="F844">
        <v>18</v>
      </c>
    </row>
    <row r="845" spans="1:6" x14ac:dyDescent="0.25">
      <c r="A845" t="s">
        <v>50</v>
      </c>
      <c r="B845">
        <v>2</v>
      </c>
      <c r="C845" t="s">
        <v>29</v>
      </c>
      <c r="D845" t="s">
        <v>3</v>
      </c>
      <c r="E845" s="8">
        <v>44403</v>
      </c>
      <c r="F845">
        <v>20</v>
      </c>
    </row>
    <row r="846" spans="1:6" x14ac:dyDescent="0.25">
      <c r="A846" t="s">
        <v>50</v>
      </c>
      <c r="B846">
        <v>2</v>
      </c>
      <c r="C846" t="s">
        <v>29</v>
      </c>
      <c r="D846" t="s">
        <v>3</v>
      </c>
      <c r="E846" s="8">
        <v>44404</v>
      </c>
      <c r="F846">
        <v>238</v>
      </c>
    </row>
    <row r="847" spans="1:6" x14ac:dyDescent="0.25">
      <c r="A847" t="s">
        <v>50</v>
      </c>
      <c r="B847">
        <v>2</v>
      </c>
      <c r="C847" t="s">
        <v>29</v>
      </c>
      <c r="D847" t="s">
        <v>3</v>
      </c>
      <c r="E847" s="8">
        <v>44405</v>
      </c>
      <c r="F847">
        <v>102</v>
      </c>
    </row>
    <row r="848" spans="1:6" x14ac:dyDescent="0.25">
      <c r="A848" t="s">
        <v>50</v>
      </c>
      <c r="B848">
        <v>2</v>
      </c>
      <c r="C848" t="s">
        <v>29</v>
      </c>
      <c r="D848" t="s">
        <v>3</v>
      </c>
      <c r="E848" s="8">
        <v>44427</v>
      </c>
      <c r="F848">
        <v>6</v>
      </c>
    </row>
    <row r="849" spans="1:6" x14ac:dyDescent="0.25">
      <c r="A849" t="s">
        <v>50</v>
      </c>
      <c r="B849">
        <v>2</v>
      </c>
      <c r="C849" t="s">
        <v>30</v>
      </c>
      <c r="D849" t="s">
        <v>2</v>
      </c>
      <c r="E849" s="8">
        <v>44484</v>
      </c>
      <c r="F849">
        <v>116</v>
      </c>
    </row>
    <row r="850" spans="1:6" x14ac:dyDescent="0.25">
      <c r="A850" t="s">
        <v>50</v>
      </c>
      <c r="B850">
        <v>2</v>
      </c>
      <c r="C850" t="s">
        <v>30</v>
      </c>
      <c r="D850" t="s">
        <v>2</v>
      </c>
      <c r="E850" s="8">
        <v>44486</v>
      </c>
      <c r="F850">
        <v>208</v>
      </c>
    </row>
    <row r="851" spans="1:6" x14ac:dyDescent="0.25">
      <c r="A851" t="s">
        <v>50</v>
      </c>
      <c r="B851">
        <v>2</v>
      </c>
      <c r="C851" t="s">
        <v>30</v>
      </c>
      <c r="D851" t="s">
        <v>2</v>
      </c>
      <c r="E851" s="8">
        <v>44487</v>
      </c>
      <c r="F851">
        <v>57</v>
      </c>
    </row>
    <row r="852" spans="1:6" x14ac:dyDescent="0.25">
      <c r="A852" t="s">
        <v>50</v>
      </c>
      <c r="B852">
        <v>2</v>
      </c>
      <c r="C852" t="s">
        <v>30</v>
      </c>
      <c r="D852" t="s">
        <v>2</v>
      </c>
      <c r="E852" s="8">
        <v>44568</v>
      </c>
      <c r="F852">
        <v>24</v>
      </c>
    </row>
    <row r="853" spans="1:6" x14ac:dyDescent="0.25">
      <c r="A853" t="s">
        <v>50</v>
      </c>
      <c r="B853">
        <v>3</v>
      </c>
      <c r="C853" t="s">
        <v>32</v>
      </c>
      <c r="D853" t="s">
        <v>5</v>
      </c>
      <c r="E853" s="8">
        <v>44486</v>
      </c>
      <c r="F853">
        <v>19</v>
      </c>
    </row>
    <row r="854" spans="1:6" x14ac:dyDescent="0.25">
      <c r="A854" t="s">
        <v>50</v>
      </c>
      <c r="B854">
        <v>3</v>
      </c>
      <c r="C854" t="s">
        <v>32</v>
      </c>
      <c r="D854" t="s">
        <v>5</v>
      </c>
      <c r="E854" s="8">
        <v>44495</v>
      </c>
      <c r="F854">
        <v>104</v>
      </c>
    </row>
    <row r="855" spans="1:6" x14ac:dyDescent="0.25">
      <c r="A855" t="s">
        <v>50</v>
      </c>
      <c r="B855">
        <v>3</v>
      </c>
      <c r="C855" t="s">
        <v>32</v>
      </c>
      <c r="D855" t="s">
        <v>5</v>
      </c>
      <c r="E855" s="8">
        <v>44616</v>
      </c>
      <c r="F855">
        <v>35</v>
      </c>
    </row>
    <row r="856" spans="1:6" x14ac:dyDescent="0.25">
      <c r="A856" t="s">
        <v>50</v>
      </c>
      <c r="B856">
        <v>3</v>
      </c>
      <c r="C856" t="s">
        <v>32</v>
      </c>
      <c r="D856" t="s">
        <v>5</v>
      </c>
      <c r="E856" s="8">
        <v>44618</v>
      </c>
      <c r="F856">
        <v>55</v>
      </c>
    </row>
    <row r="857" spans="1:6" x14ac:dyDescent="0.25">
      <c r="A857" t="s">
        <v>50</v>
      </c>
      <c r="B857">
        <v>3</v>
      </c>
      <c r="C857" t="s">
        <v>32</v>
      </c>
      <c r="D857" t="s">
        <v>5</v>
      </c>
      <c r="E857" s="8">
        <v>44619</v>
      </c>
      <c r="F857">
        <v>53</v>
      </c>
    </row>
    <row r="858" spans="1:6" x14ac:dyDescent="0.25">
      <c r="A858" t="s">
        <v>50</v>
      </c>
      <c r="B858">
        <v>3</v>
      </c>
      <c r="C858" t="s">
        <v>32</v>
      </c>
      <c r="D858" t="s">
        <v>5</v>
      </c>
      <c r="E858" s="8">
        <v>44620</v>
      </c>
      <c r="F858">
        <v>8</v>
      </c>
    </row>
    <row r="859" spans="1:6" x14ac:dyDescent="0.25">
      <c r="A859" t="s">
        <v>50</v>
      </c>
      <c r="B859">
        <v>3</v>
      </c>
      <c r="C859" t="s">
        <v>32</v>
      </c>
      <c r="D859" t="s">
        <v>5</v>
      </c>
      <c r="E859" s="8">
        <v>44621</v>
      </c>
      <c r="F859">
        <v>96</v>
      </c>
    </row>
    <row r="860" spans="1:6" x14ac:dyDescent="0.25">
      <c r="A860" t="s">
        <v>50</v>
      </c>
      <c r="B860">
        <v>3</v>
      </c>
      <c r="C860" t="s">
        <v>32</v>
      </c>
      <c r="D860" t="s">
        <v>5</v>
      </c>
      <c r="E860" s="8">
        <v>44622</v>
      </c>
      <c r="F860">
        <v>71</v>
      </c>
    </row>
    <row r="861" spans="1:6" x14ac:dyDescent="0.25">
      <c r="A861" t="s">
        <v>50</v>
      </c>
      <c r="B861">
        <v>3</v>
      </c>
      <c r="C861" t="s">
        <v>32</v>
      </c>
      <c r="D861" t="s">
        <v>5</v>
      </c>
      <c r="E861" s="8">
        <v>44623</v>
      </c>
      <c r="F861">
        <v>48</v>
      </c>
    </row>
    <row r="862" spans="1:6" x14ac:dyDescent="0.25">
      <c r="A862" t="s">
        <v>50</v>
      </c>
      <c r="B862">
        <v>3</v>
      </c>
      <c r="C862" t="s">
        <v>32</v>
      </c>
      <c r="D862" t="s">
        <v>5</v>
      </c>
      <c r="E862" s="8">
        <v>44624</v>
      </c>
      <c r="F862">
        <v>14</v>
      </c>
    </row>
    <row r="863" spans="1:6" x14ac:dyDescent="0.25">
      <c r="A863" t="s">
        <v>50</v>
      </c>
      <c r="B863">
        <v>3</v>
      </c>
      <c r="C863" t="s">
        <v>33</v>
      </c>
      <c r="D863" t="s">
        <v>5</v>
      </c>
      <c r="E863" s="8">
        <v>44398</v>
      </c>
      <c r="F863">
        <v>117</v>
      </c>
    </row>
    <row r="864" spans="1:6" x14ac:dyDescent="0.25">
      <c r="A864" t="s">
        <v>50</v>
      </c>
      <c r="B864">
        <v>3</v>
      </c>
      <c r="C864" t="s">
        <v>33</v>
      </c>
      <c r="D864" t="s">
        <v>5</v>
      </c>
      <c r="E864" s="8">
        <v>44399</v>
      </c>
      <c r="F864">
        <v>1</v>
      </c>
    </row>
    <row r="865" spans="1:6" x14ac:dyDescent="0.25">
      <c r="A865" t="s">
        <v>50</v>
      </c>
      <c r="B865">
        <v>3</v>
      </c>
      <c r="C865" t="s">
        <v>33</v>
      </c>
      <c r="D865" t="s">
        <v>5</v>
      </c>
      <c r="E865" s="8">
        <v>44400</v>
      </c>
      <c r="F865">
        <v>176</v>
      </c>
    </row>
    <row r="866" spans="1:6" x14ac:dyDescent="0.25">
      <c r="A866" t="s">
        <v>50</v>
      </c>
      <c r="B866">
        <v>3</v>
      </c>
      <c r="C866" t="s">
        <v>33</v>
      </c>
      <c r="D866" t="s">
        <v>5</v>
      </c>
      <c r="E866" s="8">
        <v>44401</v>
      </c>
      <c r="F866">
        <v>79</v>
      </c>
    </row>
    <row r="867" spans="1:6" x14ac:dyDescent="0.25">
      <c r="A867" t="s">
        <v>50</v>
      </c>
      <c r="B867">
        <v>3</v>
      </c>
      <c r="C867" t="s">
        <v>33</v>
      </c>
      <c r="D867" t="s">
        <v>5</v>
      </c>
      <c r="E867" s="8">
        <v>44402</v>
      </c>
      <c r="F867">
        <v>97</v>
      </c>
    </row>
    <row r="868" spans="1:6" x14ac:dyDescent="0.25">
      <c r="A868" t="s">
        <v>50</v>
      </c>
      <c r="B868">
        <v>3</v>
      </c>
      <c r="C868" t="s">
        <v>33</v>
      </c>
      <c r="D868" t="s">
        <v>5</v>
      </c>
      <c r="E868" s="8">
        <v>44403</v>
      </c>
      <c r="F868">
        <v>18</v>
      </c>
    </row>
    <row r="869" spans="1:6" x14ac:dyDescent="0.25">
      <c r="A869" t="s">
        <v>50</v>
      </c>
      <c r="B869">
        <v>3</v>
      </c>
      <c r="C869" t="s">
        <v>33</v>
      </c>
      <c r="D869" t="s">
        <v>5</v>
      </c>
      <c r="E869" s="8">
        <v>44420</v>
      </c>
      <c r="F869">
        <v>89</v>
      </c>
    </row>
    <row r="870" spans="1:6" x14ac:dyDescent="0.25">
      <c r="A870" t="s">
        <v>50</v>
      </c>
      <c r="B870">
        <v>3</v>
      </c>
      <c r="C870" t="s">
        <v>33</v>
      </c>
      <c r="D870" t="s">
        <v>5</v>
      </c>
      <c r="E870" s="8">
        <v>44421</v>
      </c>
      <c r="F870">
        <v>46</v>
      </c>
    </row>
    <row r="871" spans="1:6" x14ac:dyDescent="0.25">
      <c r="A871" t="s">
        <v>50</v>
      </c>
      <c r="B871">
        <v>3</v>
      </c>
      <c r="C871" t="s">
        <v>33</v>
      </c>
      <c r="D871" t="s">
        <v>5</v>
      </c>
      <c r="E871" s="8">
        <v>44424</v>
      </c>
      <c r="F871">
        <v>44</v>
      </c>
    </row>
    <row r="872" spans="1:6" x14ac:dyDescent="0.25">
      <c r="A872" t="s">
        <v>50</v>
      </c>
      <c r="B872">
        <v>3</v>
      </c>
      <c r="C872" t="s">
        <v>33</v>
      </c>
      <c r="D872" t="s">
        <v>5</v>
      </c>
      <c r="E872" s="8">
        <v>44425</v>
      </c>
      <c r="F872">
        <v>62</v>
      </c>
    </row>
    <row r="873" spans="1:6" x14ac:dyDescent="0.25">
      <c r="A873" t="s">
        <v>50</v>
      </c>
      <c r="B873">
        <v>3</v>
      </c>
      <c r="C873" t="s">
        <v>33</v>
      </c>
      <c r="D873" t="s">
        <v>5</v>
      </c>
      <c r="E873" s="8">
        <v>44426</v>
      </c>
      <c r="F873">
        <v>130</v>
      </c>
    </row>
    <row r="874" spans="1:6" x14ac:dyDescent="0.25">
      <c r="A874" t="s">
        <v>50</v>
      </c>
      <c r="B874">
        <v>3</v>
      </c>
      <c r="C874" t="s">
        <v>33</v>
      </c>
      <c r="D874" t="s">
        <v>5</v>
      </c>
      <c r="E874" s="8">
        <v>44427</v>
      </c>
      <c r="F874">
        <v>54</v>
      </c>
    </row>
    <row r="875" spans="1:6" x14ac:dyDescent="0.25">
      <c r="A875" t="s">
        <v>50</v>
      </c>
      <c r="B875">
        <v>3</v>
      </c>
      <c r="C875" t="s">
        <v>33</v>
      </c>
      <c r="D875" t="s">
        <v>5</v>
      </c>
      <c r="E875" s="8">
        <v>44429</v>
      </c>
      <c r="F875">
        <v>86</v>
      </c>
    </row>
    <row r="876" spans="1:6" x14ac:dyDescent="0.25">
      <c r="A876" t="s">
        <v>50</v>
      </c>
      <c r="B876">
        <v>3</v>
      </c>
      <c r="C876" t="s">
        <v>33</v>
      </c>
      <c r="D876" t="s">
        <v>5</v>
      </c>
      <c r="E876" s="8">
        <v>44433</v>
      </c>
      <c r="F876">
        <v>228</v>
      </c>
    </row>
    <row r="877" spans="1:6" x14ac:dyDescent="0.25">
      <c r="A877" t="s">
        <v>50</v>
      </c>
      <c r="B877">
        <v>3</v>
      </c>
      <c r="C877" t="s">
        <v>33</v>
      </c>
      <c r="D877" t="s">
        <v>5</v>
      </c>
      <c r="E877" s="8">
        <v>44452</v>
      </c>
      <c r="F877">
        <v>62</v>
      </c>
    </row>
    <row r="878" spans="1:6" x14ac:dyDescent="0.25">
      <c r="A878" t="s">
        <v>50</v>
      </c>
      <c r="B878">
        <v>3</v>
      </c>
      <c r="C878" t="s">
        <v>33</v>
      </c>
      <c r="D878" t="s">
        <v>5</v>
      </c>
      <c r="E878" s="8">
        <v>44493</v>
      </c>
      <c r="F878">
        <v>53</v>
      </c>
    </row>
    <row r="879" spans="1:6" x14ac:dyDescent="0.25">
      <c r="A879" t="s">
        <v>50</v>
      </c>
      <c r="B879">
        <v>3</v>
      </c>
      <c r="C879" t="s">
        <v>33</v>
      </c>
      <c r="D879" t="s">
        <v>5</v>
      </c>
      <c r="E879" s="8">
        <v>44495</v>
      </c>
      <c r="F879">
        <v>89</v>
      </c>
    </row>
    <row r="880" spans="1:6" x14ac:dyDescent="0.25">
      <c r="A880" t="s">
        <v>50</v>
      </c>
      <c r="B880">
        <v>3</v>
      </c>
      <c r="C880" t="s">
        <v>33</v>
      </c>
      <c r="D880" t="s">
        <v>5</v>
      </c>
      <c r="E880" s="8">
        <v>44496</v>
      </c>
      <c r="F880">
        <v>41</v>
      </c>
    </row>
    <row r="881" spans="1:6" x14ac:dyDescent="0.25">
      <c r="A881" t="s">
        <v>50</v>
      </c>
      <c r="B881">
        <v>3</v>
      </c>
      <c r="C881" t="s">
        <v>33</v>
      </c>
      <c r="D881" t="s">
        <v>5</v>
      </c>
      <c r="E881" s="8">
        <v>44497</v>
      </c>
      <c r="F881">
        <v>112</v>
      </c>
    </row>
    <row r="882" spans="1:6" x14ac:dyDescent="0.25">
      <c r="A882" t="s">
        <v>50</v>
      </c>
      <c r="B882">
        <v>3</v>
      </c>
      <c r="C882" t="s">
        <v>33</v>
      </c>
      <c r="D882" t="s">
        <v>5</v>
      </c>
      <c r="E882" s="8">
        <v>44498</v>
      </c>
      <c r="F882">
        <v>141</v>
      </c>
    </row>
    <row r="883" spans="1:6" x14ac:dyDescent="0.25">
      <c r="A883" t="s">
        <v>50</v>
      </c>
      <c r="B883">
        <v>3</v>
      </c>
      <c r="C883" t="s">
        <v>33</v>
      </c>
      <c r="D883" t="s">
        <v>5</v>
      </c>
      <c r="E883" s="8">
        <v>44499</v>
      </c>
      <c r="F883">
        <v>38</v>
      </c>
    </row>
    <row r="884" spans="1:6" x14ac:dyDescent="0.25">
      <c r="A884" t="s">
        <v>50</v>
      </c>
      <c r="B884">
        <v>3</v>
      </c>
      <c r="C884" t="s">
        <v>33</v>
      </c>
      <c r="D884" t="s">
        <v>5</v>
      </c>
      <c r="E884" s="8">
        <v>44500</v>
      </c>
      <c r="F884">
        <v>23</v>
      </c>
    </row>
    <row r="885" spans="1:6" x14ac:dyDescent="0.25">
      <c r="A885" t="s">
        <v>50</v>
      </c>
      <c r="B885">
        <v>3</v>
      </c>
      <c r="C885" t="s">
        <v>33</v>
      </c>
      <c r="D885" t="s">
        <v>5</v>
      </c>
      <c r="E885" s="8">
        <v>44588</v>
      </c>
      <c r="F885">
        <v>83</v>
      </c>
    </row>
    <row r="886" spans="1:6" x14ac:dyDescent="0.25">
      <c r="A886" t="s">
        <v>50</v>
      </c>
      <c r="B886">
        <v>3</v>
      </c>
      <c r="C886" t="s">
        <v>33</v>
      </c>
      <c r="D886" t="s">
        <v>5</v>
      </c>
      <c r="E886" s="8">
        <v>44589</v>
      </c>
      <c r="F886">
        <v>43</v>
      </c>
    </row>
    <row r="887" spans="1:6" x14ac:dyDescent="0.25">
      <c r="A887" t="s">
        <v>50</v>
      </c>
      <c r="B887">
        <v>3</v>
      </c>
      <c r="C887" t="s">
        <v>33</v>
      </c>
      <c r="D887" t="s">
        <v>5</v>
      </c>
      <c r="E887" s="8">
        <v>44590</v>
      </c>
      <c r="F887">
        <v>112</v>
      </c>
    </row>
    <row r="888" spans="1:6" x14ac:dyDescent="0.25">
      <c r="A888" t="s">
        <v>50</v>
      </c>
      <c r="B888">
        <v>3</v>
      </c>
      <c r="C888" t="s">
        <v>33</v>
      </c>
      <c r="D888" t="s">
        <v>5</v>
      </c>
      <c r="E888" s="8">
        <v>44609</v>
      </c>
      <c r="F888">
        <v>69</v>
      </c>
    </row>
    <row r="889" spans="1:6" x14ac:dyDescent="0.25">
      <c r="A889" t="s">
        <v>50</v>
      </c>
      <c r="B889">
        <v>3</v>
      </c>
      <c r="C889" t="s">
        <v>33</v>
      </c>
      <c r="D889" t="s">
        <v>5</v>
      </c>
      <c r="E889" s="8">
        <v>44610</v>
      </c>
      <c r="F889">
        <v>130</v>
      </c>
    </row>
    <row r="890" spans="1:6" x14ac:dyDescent="0.25">
      <c r="A890" t="s">
        <v>50</v>
      </c>
      <c r="B890">
        <v>3</v>
      </c>
      <c r="C890" t="s">
        <v>33</v>
      </c>
      <c r="D890" t="s">
        <v>5</v>
      </c>
      <c r="E890" s="8">
        <v>44611</v>
      </c>
      <c r="F890">
        <v>139</v>
      </c>
    </row>
    <row r="891" spans="1:6" x14ac:dyDescent="0.25">
      <c r="A891" t="s">
        <v>50</v>
      </c>
      <c r="B891">
        <v>3</v>
      </c>
      <c r="C891" t="s">
        <v>33</v>
      </c>
      <c r="D891" t="s">
        <v>5</v>
      </c>
      <c r="E891" s="8">
        <v>44612</v>
      </c>
      <c r="F891">
        <v>99</v>
      </c>
    </row>
    <row r="892" spans="1:6" x14ac:dyDescent="0.25">
      <c r="A892" t="s">
        <v>50</v>
      </c>
      <c r="B892">
        <v>3</v>
      </c>
      <c r="C892" t="s">
        <v>33</v>
      </c>
      <c r="D892" t="s">
        <v>5</v>
      </c>
      <c r="E892" s="8">
        <v>44613</v>
      </c>
      <c r="F892">
        <v>41</v>
      </c>
    </row>
    <row r="893" spans="1:6" x14ac:dyDescent="0.25">
      <c r="A893" t="s">
        <v>50</v>
      </c>
      <c r="B893">
        <v>3</v>
      </c>
      <c r="C893" t="s">
        <v>33</v>
      </c>
      <c r="D893" t="s">
        <v>5</v>
      </c>
      <c r="E893" s="8">
        <v>44614</v>
      </c>
      <c r="F893">
        <v>207</v>
      </c>
    </row>
    <row r="894" spans="1:6" x14ac:dyDescent="0.25">
      <c r="A894" t="s">
        <v>50</v>
      </c>
      <c r="B894">
        <v>3</v>
      </c>
      <c r="C894" t="s">
        <v>33</v>
      </c>
      <c r="D894" t="s">
        <v>5</v>
      </c>
      <c r="E894" s="8">
        <v>44615</v>
      </c>
      <c r="F894">
        <v>109</v>
      </c>
    </row>
    <row r="895" spans="1:6" x14ac:dyDescent="0.25">
      <c r="A895" t="s">
        <v>50</v>
      </c>
      <c r="B895">
        <v>3</v>
      </c>
      <c r="C895" t="s">
        <v>33</v>
      </c>
      <c r="D895" t="s">
        <v>5</v>
      </c>
      <c r="E895" s="8">
        <v>44616</v>
      </c>
      <c r="F895">
        <v>3</v>
      </c>
    </row>
    <row r="896" spans="1:6" x14ac:dyDescent="0.25">
      <c r="A896" t="s">
        <v>50</v>
      </c>
      <c r="B896">
        <v>3</v>
      </c>
      <c r="C896" t="s">
        <v>33</v>
      </c>
      <c r="D896" t="s">
        <v>5</v>
      </c>
      <c r="E896" s="8">
        <v>44617</v>
      </c>
      <c r="F896">
        <v>119</v>
      </c>
    </row>
    <row r="897" spans="1:6" x14ac:dyDescent="0.25">
      <c r="A897" t="s">
        <v>50</v>
      </c>
      <c r="B897">
        <v>3</v>
      </c>
      <c r="C897" t="s">
        <v>33</v>
      </c>
      <c r="D897" t="s">
        <v>5</v>
      </c>
      <c r="E897" s="8">
        <v>44618</v>
      </c>
      <c r="F897">
        <v>87</v>
      </c>
    </row>
    <row r="898" spans="1:6" x14ac:dyDescent="0.25">
      <c r="A898" t="s">
        <v>50</v>
      </c>
      <c r="B898">
        <v>3</v>
      </c>
      <c r="C898" t="s">
        <v>33</v>
      </c>
      <c r="D898" t="s">
        <v>5</v>
      </c>
      <c r="E898" s="8">
        <v>44619</v>
      </c>
      <c r="F898">
        <v>77</v>
      </c>
    </row>
    <row r="899" spans="1:6" x14ac:dyDescent="0.25">
      <c r="A899" t="s">
        <v>50</v>
      </c>
      <c r="B899">
        <v>3</v>
      </c>
      <c r="C899" t="s">
        <v>33</v>
      </c>
      <c r="D899" t="s">
        <v>5</v>
      </c>
      <c r="E899" s="8">
        <v>44620</v>
      </c>
      <c r="F899">
        <v>75</v>
      </c>
    </row>
    <row r="900" spans="1:6" x14ac:dyDescent="0.25">
      <c r="A900" t="s">
        <v>50</v>
      </c>
      <c r="B900">
        <v>3</v>
      </c>
      <c r="C900" t="s">
        <v>33</v>
      </c>
      <c r="D900" t="s">
        <v>5</v>
      </c>
      <c r="E900" s="8">
        <v>44621</v>
      </c>
      <c r="F900">
        <v>186</v>
      </c>
    </row>
    <row r="901" spans="1:6" x14ac:dyDescent="0.25">
      <c r="A901" t="s">
        <v>50</v>
      </c>
      <c r="B901">
        <v>3</v>
      </c>
      <c r="C901" t="s">
        <v>33</v>
      </c>
      <c r="D901" t="s">
        <v>5</v>
      </c>
      <c r="E901" s="8">
        <v>44622</v>
      </c>
      <c r="F901">
        <v>81</v>
      </c>
    </row>
    <row r="902" spans="1:6" x14ac:dyDescent="0.25">
      <c r="A902" t="s">
        <v>50</v>
      </c>
      <c r="B902">
        <v>3</v>
      </c>
      <c r="C902" t="s">
        <v>33</v>
      </c>
      <c r="D902" t="s">
        <v>5</v>
      </c>
      <c r="E902" s="8">
        <v>44623</v>
      </c>
      <c r="F902">
        <v>74</v>
      </c>
    </row>
    <row r="903" spans="1:6" x14ac:dyDescent="0.25">
      <c r="A903" t="s">
        <v>50</v>
      </c>
      <c r="B903">
        <v>3</v>
      </c>
      <c r="C903" t="s">
        <v>33</v>
      </c>
      <c r="D903" t="s">
        <v>5</v>
      </c>
      <c r="E903" s="8">
        <v>44625</v>
      </c>
      <c r="F903">
        <v>128</v>
      </c>
    </row>
    <row r="904" spans="1:6" x14ac:dyDescent="0.25">
      <c r="A904" t="s">
        <v>50</v>
      </c>
      <c r="B904">
        <v>3</v>
      </c>
      <c r="C904" t="s">
        <v>33</v>
      </c>
      <c r="D904" t="s">
        <v>5</v>
      </c>
      <c r="E904" s="8">
        <v>44626</v>
      </c>
      <c r="F904">
        <v>113</v>
      </c>
    </row>
    <row r="905" spans="1:6" x14ac:dyDescent="0.25">
      <c r="A905" t="s">
        <v>50</v>
      </c>
      <c r="B905">
        <v>3</v>
      </c>
      <c r="C905" t="s">
        <v>33</v>
      </c>
      <c r="D905" t="s">
        <v>5</v>
      </c>
      <c r="E905" s="8">
        <v>44627</v>
      </c>
      <c r="F905">
        <v>51</v>
      </c>
    </row>
    <row r="906" spans="1:6" x14ac:dyDescent="0.25">
      <c r="A906" t="s">
        <v>50</v>
      </c>
      <c r="B906">
        <v>3</v>
      </c>
      <c r="C906" t="s">
        <v>33</v>
      </c>
      <c r="D906" t="s">
        <v>5</v>
      </c>
      <c r="E906" s="8">
        <v>44628</v>
      </c>
      <c r="F906">
        <v>90</v>
      </c>
    </row>
    <row r="907" spans="1:6" x14ac:dyDescent="0.25">
      <c r="A907" t="s">
        <v>50</v>
      </c>
      <c r="B907">
        <v>3</v>
      </c>
      <c r="C907" t="s">
        <v>33</v>
      </c>
      <c r="D907" t="s">
        <v>5</v>
      </c>
      <c r="E907" s="8">
        <v>44632</v>
      </c>
      <c r="F907">
        <v>26</v>
      </c>
    </row>
    <row r="908" spans="1:6" x14ac:dyDescent="0.25">
      <c r="A908" t="s">
        <v>50</v>
      </c>
      <c r="B908">
        <v>3</v>
      </c>
      <c r="C908" t="s">
        <v>33</v>
      </c>
      <c r="D908" t="s">
        <v>5</v>
      </c>
      <c r="E908" s="8">
        <v>44633</v>
      </c>
      <c r="F908">
        <v>137</v>
      </c>
    </row>
    <row r="909" spans="1:6" x14ac:dyDescent="0.25">
      <c r="A909" t="s">
        <v>50</v>
      </c>
      <c r="B909">
        <v>3</v>
      </c>
      <c r="C909" t="s">
        <v>33</v>
      </c>
      <c r="D909" t="s">
        <v>5</v>
      </c>
      <c r="E909" s="8">
        <v>44634</v>
      </c>
      <c r="F909">
        <v>71</v>
      </c>
    </row>
    <row r="910" spans="1:6" x14ac:dyDescent="0.25">
      <c r="A910" t="s">
        <v>50</v>
      </c>
      <c r="B910">
        <v>3</v>
      </c>
      <c r="C910" t="s">
        <v>33</v>
      </c>
      <c r="D910" t="s">
        <v>5</v>
      </c>
      <c r="E910" s="8">
        <v>44635</v>
      </c>
      <c r="F910">
        <v>40</v>
      </c>
    </row>
    <row r="911" spans="1:6" x14ac:dyDescent="0.25">
      <c r="A911" t="s">
        <v>50</v>
      </c>
      <c r="B911">
        <v>3</v>
      </c>
      <c r="C911" t="s">
        <v>33</v>
      </c>
      <c r="D911" t="s">
        <v>5</v>
      </c>
      <c r="E911" s="8">
        <v>44636</v>
      </c>
      <c r="F911">
        <v>27</v>
      </c>
    </row>
    <row r="912" spans="1:6" x14ac:dyDescent="0.25">
      <c r="A912" t="s">
        <v>50</v>
      </c>
      <c r="B912">
        <v>3</v>
      </c>
      <c r="C912" t="s">
        <v>33</v>
      </c>
      <c r="D912" t="s">
        <v>5</v>
      </c>
      <c r="E912" s="8">
        <v>44637</v>
      </c>
      <c r="F912">
        <v>310</v>
      </c>
    </row>
    <row r="913" spans="1:6" x14ac:dyDescent="0.25">
      <c r="A913" t="s">
        <v>50</v>
      </c>
      <c r="B913">
        <v>3</v>
      </c>
      <c r="C913" t="s">
        <v>33</v>
      </c>
      <c r="D913" t="s">
        <v>5</v>
      </c>
      <c r="E913" s="8">
        <v>44638</v>
      </c>
      <c r="F913">
        <v>219</v>
      </c>
    </row>
    <row r="914" spans="1:6" x14ac:dyDescent="0.25">
      <c r="A914" t="s">
        <v>50</v>
      </c>
      <c r="B914">
        <v>3</v>
      </c>
      <c r="C914" t="s">
        <v>33</v>
      </c>
      <c r="D914" t="s">
        <v>5</v>
      </c>
      <c r="E914" s="8">
        <v>44645</v>
      </c>
      <c r="F914">
        <v>7</v>
      </c>
    </row>
    <row r="915" spans="1:6" x14ac:dyDescent="0.25">
      <c r="A915" t="s">
        <v>50</v>
      </c>
      <c r="B915">
        <v>3</v>
      </c>
      <c r="C915" t="s">
        <v>34</v>
      </c>
      <c r="D915" t="s">
        <v>6</v>
      </c>
      <c r="E915" s="8">
        <v>44373</v>
      </c>
      <c r="F915">
        <v>43</v>
      </c>
    </row>
    <row r="916" spans="1:6" x14ac:dyDescent="0.25">
      <c r="A916" t="s">
        <v>50</v>
      </c>
      <c r="B916">
        <v>3</v>
      </c>
      <c r="C916" t="s">
        <v>34</v>
      </c>
      <c r="D916" t="s">
        <v>6</v>
      </c>
      <c r="E916" s="8">
        <v>44374</v>
      </c>
      <c r="F916">
        <v>47</v>
      </c>
    </row>
    <row r="917" spans="1:6" x14ac:dyDescent="0.25">
      <c r="A917" t="s">
        <v>50</v>
      </c>
      <c r="B917">
        <v>3</v>
      </c>
      <c r="C917" t="s">
        <v>34</v>
      </c>
      <c r="D917" t="s">
        <v>6</v>
      </c>
      <c r="E917" s="8">
        <v>44375</v>
      </c>
      <c r="F917">
        <v>93</v>
      </c>
    </row>
    <row r="918" spans="1:6" x14ac:dyDescent="0.25">
      <c r="A918" t="s">
        <v>50</v>
      </c>
      <c r="B918">
        <v>3</v>
      </c>
      <c r="C918" t="s">
        <v>34</v>
      </c>
      <c r="D918" t="s">
        <v>6</v>
      </c>
      <c r="E918" s="8">
        <v>44376</v>
      </c>
      <c r="F918">
        <v>143</v>
      </c>
    </row>
    <row r="919" spans="1:6" x14ac:dyDescent="0.25">
      <c r="A919" t="s">
        <v>50</v>
      </c>
      <c r="B919">
        <v>3</v>
      </c>
      <c r="C919" t="s">
        <v>34</v>
      </c>
      <c r="D919" t="s">
        <v>6</v>
      </c>
      <c r="E919" s="8">
        <v>44377</v>
      </c>
      <c r="F919">
        <v>66</v>
      </c>
    </row>
    <row r="920" spans="1:6" x14ac:dyDescent="0.25">
      <c r="A920" t="s">
        <v>50</v>
      </c>
      <c r="B920">
        <v>3</v>
      </c>
      <c r="C920" t="s">
        <v>34</v>
      </c>
      <c r="D920" t="s">
        <v>6</v>
      </c>
      <c r="E920" s="8">
        <v>44378</v>
      </c>
      <c r="F920">
        <v>153</v>
      </c>
    </row>
    <row r="921" spans="1:6" x14ac:dyDescent="0.25">
      <c r="A921" t="s">
        <v>50</v>
      </c>
      <c r="B921">
        <v>3</v>
      </c>
      <c r="C921" t="s">
        <v>34</v>
      </c>
      <c r="D921" t="s">
        <v>6</v>
      </c>
      <c r="E921" s="8">
        <v>44379</v>
      </c>
      <c r="F921">
        <v>17</v>
      </c>
    </row>
    <row r="922" spans="1:6" x14ac:dyDescent="0.25">
      <c r="A922" t="s">
        <v>50</v>
      </c>
      <c r="B922">
        <v>3</v>
      </c>
      <c r="C922" t="s">
        <v>34</v>
      </c>
      <c r="D922" t="s">
        <v>6</v>
      </c>
      <c r="E922" s="8">
        <v>44380</v>
      </c>
      <c r="F922">
        <v>124</v>
      </c>
    </row>
    <row r="923" spans="1:6" x14ac:dyDescent="0.25">
      <c r="A923" t="s">
        <v>50</v>
      </c>
      <c r="B923">
        <v>3</v>
      </c>
      <c r="C923" t="s">
        <v>34</v>
      </c>
      <c r="D923" t="s">
        <v>6</v>
      </c>
      <c r="E923" s="8">
        <v>44382</v>
      </c>
      <c r="F923">
        <v>162</v>
      </c>
    </row>
    <row r="924" spans="1:6" x14ac:dyDescent="0.25">
      <c r="A924" t="s">
        <v>50</v>
      </c>
      <c r="B924">
        <v>3</v>
      </c>
      <c r="C924" t="s">
        <v>34</v>
      </c>
      <c r="D924" t="s">
        <v>6</v>
      </c>
      <c r="E924" s="8">
        <v>44383</v>
      </c>
      <c r="F924">
        <v>248</v>
      </c>
    </row>
    <row r="925" spans="1:6" x14ac:dyDescent="0.25">
      <c r="A925" t="s">
        <v>50</v>
      </c>
      <c r="B925">
        <v>3</v>
      </c>
      <c r="C925" t="s">
        <v>34</v>
      </c>
      <c r="D925" t="s">
        <v>6</v>
      </c>
      <c r="E925" s="8">
        <v>44384</v>
      </c>
      <c r="F925">
        <v>142</v>
      </c>
    </row>
    <row r="926" spans="1:6" x14ac:dyDescent="0.25">
      <c r="A926" t="s">
        <v>50</v>
      </c>
      <c r="B926">
        <v>3</v>
      </c>
      <c r="C926" t="s">
        <v>34</v>
      </c>
      <c r="D926" t="s">
        <v>6</v>
      </c>
      <c r="E926" s="8">
        <v>44385</v>
      </c>
      <c r="F926">
        <v>177</v>
      </c>
    </row>
    <row r="927" spans="1:6" x14ac:dyDescent="0.25">
      <c r="A927" t="s">
        <v>50</v>
      </c>
      <c r="B927">
        <v>3</v>
      </c>
      <c r="C927" t="s">
        <v>34</v>
      </c>
      <c r="D927" t="s">
        <v>6</v>
      </c>
      <c r="E927" s="8">
        <v>44386</v>
      </c>
      <c r="F927">
        <v>120</v>
      </c>
    </row>
    <row r="928" spans="1:6" x14ac:dyDescent="0.25">
      <c r="A928" t="s">
        <v>50</v>
      </c>
      <c r="B928">
        <v>3</v>
      </c>
      <c r="C928" t="s">
        <v>34</v>
      </c>
      <c r="D928" t="s">
        <v>6</v>
      </c>
      <c r="E928" s="8">
        <v>44389</v>
      </c>
      <c r="F928">
        <v>153</v>
      </c>
    </row>
    <row r="929" spans="1:6" x14ac:dyDescent="0.25">
      <c r="A929" t="s">
        <v>50</v>
      </c>
      <c r="B929">
        <v>3</v>
      </c>
      <c r="C929" t="s">
        <v>34</v>
      </c>
      <c r="D929" t="s">
        <v>6</v>
      </c>
      <c r="E929" s="8">
        <v>44390</v>
      </c>
      <c r="F929">
        <v>75</v>
      </c>
    </row>
    <row r="930" spans="1:6" x14ac:dyDescent="0.25">
      <c r="A930" t="s">
        <v>50</v>
      </c>
      <c r="B930">
        <v>3</v>
      </c>
      <c r="C930" t="s">
        <v>34</v>
      </c>
      <c r="D930" t="s">
        <v>6</v>
      </c>
      <c r="E930" s="8">
        <v>44395</v>
      </c>
      <c r="F930">
        <v>140</v>
      </c>
    </row>
    <row r="931" spans="1:6" x14ac:dyDescent="0.25">
      <c r="A931" t="s">
        <v>50</v>
      </c>
      <c r="B931">
        <v>3</v>
      </c>
      <c r="C931" t="s">
        <v>34</v>
      </c>
      <c r="D931" t="s">
        <v>6</v>
      </c>
      <c r="E931" s="8">
        <v>44396</v>
      </c>
      <c r="F931">
        <v>221</v>
      </c>
    </row>
    <row r="932" spans="1:6" x14ac:dyDescent="0.25">
      <c r="A932" t="s">
        <v>50</v>
      </c>
      <c r="B932">
        <v>3</v>
      </c>
      <c r="C932" t="s">
        <v>34</v>
      </c>
      <c r="D932" t="s">
        <v>6</v>
      </c>
      <c r="E932" s="8">
        <v>44397</v>
      </c>
      <c r="F932">
        <v>203</v>
      </c>
    </row>
    <row r="933" spans="1:6" x14ac:dyDescent="0.25">
      <c r="A933" t="s">
        <v>50</v>
      </c>
      <c r="B933">
        <v>3</v>
      </c>
      <c r="C933" t="s">
        <v>34</v>
      </c>
      <c r="D933" t="s">
        <v>6</v>
      </c>
      <c r="E933" s="8">
        <v>44398</v>
      </c>
      <c r="F933">
        <v>113</v>
      </c>
    </row>
    <row r="934" spans="1:6" x14ac:dyDescent="0.25">
      <c r="A934" t="s">
        <v>50</v>
      </c>
      <c r="B934">
        <v>3</v>
      </c>
      <c r="C934" t="s">
        <v>34</v>
      </c>
      <c r="D934" t="s">
        <v>6</v>
      </c>
      <c r="E934" s="8">
        <v>44399</v>
      </c>
      <c r="F934">
        <v>159</v>
      </c>
    </row>
    <row r="935" spans="1:6" x14ac:dyDescent="0.25">
      <c r="A935" t="s">
        <v>50</v>
      </c>
      <c r="B935">
        <v>3</v>
      </c>
      <c r="C935" t="s">
        <v>34</v>
      </c>
      <c r="D935" t="s">
        <v>6</v>
      </c>
      <c r="E935" s="8">
        <v>44400</v>
      </c>
      <c r="F935">
        <v>102</v>
      </c>
    </row>
    <row r="936" spans="1:6" x14ac:dyDescent="0.25">
      <c r="A936" t="s">
        <v>50</v>
      </c>
      <c r="B936">
        <v>3</v>
      </c>
      <c r="C936" t="s">
        <v>34</v>
      </c>
      <c r="D936" t="s">
        <v>6</v>
      </c>
      <c r="E936" s="8">
        <v>44401</v>
      </c>
      <c r="F936">
        <v>58</v>
      </c>
    </row>
    <row r="937" spans="1:6" x14ac:dyDescent="0.25">
      <c r="A937" t="s">
        <v>50</v>
      </c>
      <c r="B937">
        <v>3</v>
      </c>
      <c r="C937" t="s">
        <v>34</v>
      </c>
      <c r="D937" t="s">
        <v>6</v>
      </c>
      <c r="E937" s="8">
        <v>44403</v>
      </c>
      <c r="F937">
        <v>85</v>
      </c>
    </row>
    <row r="938" spans="1:6" x14ac:dyDescent="0.25">
      <c r="A938" t="s">
        <v>50</v>
      </c>
      <c r="B938">
        <v>3</v>
      </c>
      <c r="C938" t="s">
        <v>34</v>
      </c>
      <c r="D938" t="s">
        <v>6</v>
      </c>
      <c r="E938" s="8">
        <v>44404</v>
      </c>
      <c r="F938">
        <v>67</v>
      </c>
    </row>
    <row r="939" spans="1:6" x14ac:dyDescent="0.25">
      <c r="A939" t="s">
        <v>50</v>
      </c>
      <c r="B939">
        <v>3</v>
      </c>
      <c r="C939" t="s">
        <v>34</v>
      </c>
      <c r="D939" t="s">
        <v>6</v>
      </c>
      <c r="E939" s="8">
        <v>44411</v>
      </c>
      <c r="F939">
        <v>9</v>
      </c>
    </row>
    <row r="940" spans="1:6" x14ac:dyDescent="0.25">
      <c r="A940" t="s">
        <v>50</v>
      </c>
      <c r="B940">
        <v>3</v>
      </c>
      <c r="C940" t="s">
        <v>34</v>
      </c>
      <c r="D940" t="s">
        <v>6</v>
      </c>
      <c r="E940" s="8">
        <v>44445</v>
      </c>
      <c r="F940">
        <v>21</v>
      </c>
    </row>
    <row r="941" spans="1:6" x14ac:dyDescent="0.25">
      <c r="A941" t="s">
        <v>50</v>
      </c>
      <c r="B941">
        <v>3</v>
      </c>
      <c r="C941" t="s">
        <v>34</v>
      </c>
      <c r="D941" t="s">
        <v>6</v>
      </c>
      <c r="E941" s="8">
        <v>44447</v>
      </c>
      <c r="F941">
        <v>26</v>
      </c>
    </row>
    <row r="942" spans="1:6" x14ac:dyDescent="0.25">
      <c r="A942" t="s">
        <v>50</v>
      </c>
      <c r="B942">
        <v>3</v>
      </c>
      <c r="C942" t="s">
        <v>34</v>
      </c>
      <c r="D942" t="s">
        <v>6</v>
      </c>
      <c r="E942" s="8">
        <v>44448</v>
      </c>
      <c r="F942">
        <v>106</v>
      </c>
    </row>
    <row r="943" spans="1:6" x14ac:dyDescent="0.25">
      <c r="A943" t="s">
        <v>50</v>
      </c>
      <c r="B943">
        <v>3</v>
      </c>
      <c r="C943" t="s">
        <v>34</v>
      </c>
      <c r="D943" t="s">
        <v>6</v>
      </c>
      <c r="E943" s="8">
        <v>44449</v>
      </c>
      <c r="F943">
        <v>123</v>
      </c>
    </row>
    <row r="944" spans="1:6" x14ac:dyDescent="0.25">
      <c r="A944" t="s">
        <v>50</v>
      </c>
      <c r="B944">
        <v>3</v>
      </c>
      <c r="C944" t="s">
        <v>34</v>
      </c>
      <c r="D944" t="s">
        <v>6</v>
      </c>
      <c r="E944" s="8">
        <v>44450</v>
      </c>
      <c r="F944">
        <v>60</v>
      </c>
    </row>
    <row r="945" spans="1:6" x14ac:dyDescent="0.25">
      <c r="A945" t="s">
        <v>50</v>
      </c>
      <c r="B945">
        <v>3</v>
      </c>
      <c r="C945" t="s">
        <v>34</v>
      </c>
      <c r="D945" t="s">
        <v>6</v>
      </c>
      <c r="E945" s="8">
        <v>44451</v>
      </c>
      <c r="F945">
        <v>51</v>
      </c>
    </row>
    <row r="946" spans="1:6" x14ac:dyDescent="0.25">
      <c r="A946" t="s">
        <v>50</v>
      </c>
      <c r="B946">
        <v>3</v>
      </c>
      <c r="C946" t="s">
        <v>34</v>
      </c>
      <c r="D946" t="s">
        <v>6</v>
      </c>
      <c r="E946" s="8">
        <v>44452</v>
      </c>
      <c r="F946">
        <v>148</v>
      </c>
    </row>
    <row r="947" spans="1:6" x14ac:dyDescent="0.25">
      <c r="A947" t="s">
        <v>50</v>
      </c>
      <c r="B947">
        <v>3</v>
      </c>
      <c r="C947" t="s">
        <v>34</v>
      </c>
      <c r="D947" t="s">
        <v>6</v>
      </c>
      <c r="E947" s="8">
        <v>44454</v>
      </c>
      <c r="F947">
        <v>133</v>
      </c>
    </row>
    <row r="948" spans="1:6" x14ac:dyDescent="0.25">
      <c r="A948" t="s">
        <v>50</v>
      </c>
      <c r="B948">
        <v>3</v>
      </c>
      <c r="C948" t="s">
        <v>34</v>
      </c>
      <c r="D948" t="s">
        <v>6</v>
      </c>
      <c r="E948" s="8">
        <v>44525</v>
      </c>
      <c r="F948">
        <v>126</v>
      </c>
    </row>
    <row r="949" spans="1:6" x14ac:dyDescent="0.25">
      <c r="A949" t="s">
        <v>50</v>
      </c>
      <c r="B949">
        <v>3</v>
      </c>
      <c r="C949" t="s">
        <v>34</v>
      </c>
      <c r="D949" t="s">
        <v>6</v>
      </c>
      <c r="E949" s="8">
        <v>44526</v>
      </c>
      <c r="F949">
        <v>104</v>
      </c>
    </row>
    <row r="950" spans="1:6" x14ac:dyDescent="0.25">
      <c r="A950" t="s">
        <v>50</v>
      </c>
      <c r="B950">
        <v>3</v>
      </c>
      <c r="C950" t="s">
        <v>34</v>
      </c>
      <c r="D950" t="s">
        <v>6</v>
      </c>
      <c r="E950" s="8">
        <v>44532</v>
      </c>
      <c r="F950">
        <v>39</v>
      </c>
    </row>
    <row r="951" spans="1:6" x14ac:dyDescent="0.25">
      <c r="A951" t="s">
        <v>50</v>
      </c>
      <c r="B951">
        <v>3</v>
      </c>
      <c r="C951" t="s">
        <v>34</v>
      </c>
      <c r="D951" t="s">
        <v>6</v>
      </c>
      <c r="E951" s="8">
        <v>44535</v>
      </c>
      <c r="F951">
        <v>34</v>
      </c>
    </row>
    <row r="952" spans="1:6" x14ac:dyDescent="0.25">
      <c r="A952" t="s">
        <v>50</v>
      </c>
      <c r="B952">
        <v>3</v>
      </c>
      <c r="C952" t="s">
        <v>34</v>
      </c>
      <c r="D952" t="s">
        <v>6</v>
      </c>
      <c r="E952" s="8">
        <v>44537</v>
      </c>
      <c r="F952">
        <v>5</v>
      </c>
    </row>
    <row r="953" spans="1:6" x14ac:dyDescent="0.25">
      <c r="A953" t="s">
        <v>50</v>
      </c>
      <c r="B953">
        <v>3</v>
      </c>
      <c r="C953" t="s">
        <v>34</v>
      </c>
      <c r="D953" t="s">
        <v>6</v>
      </c>
      <c r="E953" s="8">
        <v>44538</v>
      </c>
      <c r="F953">
        <v>218</v>
      </c>
    </row>
    <row r="954" spans="1:6" x14ac:dyDescent="0.25">
      <c r="A954" t="s">
        <v>50</v>
      </c>
      <c r="B954">
        <v>3</v>
      </c>
      <c r="C954" t="s">
        <v>34</v>
      </c>
      <c r="D954" t="s">
        <v>6</v>
      </c>
      <c r="E954" s="8">
        <v>44541</v>
      </c>
      <c r="F954">
        <v>35</v>
      </c>
    </row>
    <row r="955" spans="1:6" x14ac:dyDescent="0.25">
      <c r="A955" t="s">
        <v>50</v>
      </c>
      <c r="B955">
        <v>3</v>
      </c>
      <c r="C955" t="s">
        <v>34</v>
      </c>
      <c r="D955" t="s">
        <v>6</v>
      </c>
      <c r="E955" s="8">
        <v>44543</v>
      </c>
      <c r="F955">
        <v>42</v>
      </c>
    </row>
    <row r="956" spans="1:6" x14ac:dyDescent="0.25">
      <c r="A956" t="s">
        <v>50</v>
      </c>
      <c r="B956">
        <v>3</v>
      </c>
      <c r="C956" t="s">
        <v>34</v>
      </c>
      <c r="D956" t="s">
        <v>6</v>
      </c>
      <c r="E956" s="8">
        <v>44544</v>
      </c>
      <c r="F956">
        <v>46</v>
      </c>
    </row>
    <row r="957" spans="1:6" x14ac:dyDescent="0.25">
      <c r="A957" t="s">
        <v>50</v>
      </c>
      <c r="B957">
        <v>3</v>
      </c>
      <c r="C957" t="s">
        <v>34</v>
      </c>
      <c r="D957" t="s">
        <v>6</v>
      </c>
      <c r="E957" s="8">
        <v>44547</v>
      </c>
      <c r="F957">
        <v>79</v>
      </c>
    </row>
    <row r="958" spans="1:6" x14ac:dyDescent="0.25">
      <c r="A958" t="s">
        <v>50</v>
      </c>
      <c r="B958">
        <v>3</v>
      </c>
      <c r="C958" t="s">
        <v>34</v>
      </c>
      <c r="D958" t="s">
        <v>6</v>
      </c>
      <c r="E958" s="8">
        <v>44548</v>
      </c>
      <c r="F958">
        <v>24</v>
      </c>
    </row>
    <row r="959" spans="1:6" x14ac:dyDescent="0.25">
      <c r="A959" t="s">
        <v>50</v>
      </c>
      <c r="B959">
        <v>3</v>
      </c>
      <c r="C959" t="s">
        <v>34</v>
      </c>
      <c r="D959" t="s">
        <v>6</v>
      </c>
      <c r="E959" s="8">
        <v>44594</v>
      </c>
      <c r="F959">
        <v>1</v>
      </c>
    </row>
    <row r="960" spans="1:6" x14ac:dyDescent="0.25">
      <c r="A960" t="s">
        <v>50</v>
      </c>
      <c r="B960">
        <v>3</v>
      </c>
      <c r="C960" t="s">
        <v>35</v>
      </c>
      <c r="D960" t="s">
        <v>5</v>
      </c>
      <c r="E960" s="8">
        <v>44615</v>
      </c>
      <c r="F960">
        <v>52</v>
      </c>
    </row>
    <row r="961" spans="1:6" x14ac:dyDescent="0.25">
      <c r="A961" t="s">
        <v>50</v>
      </c>
      <c r="B961">
        <v>3</v>
      </c>
      <c r="C961" t="s">
        <v>35</v>
      </c>
      <c r="D961" t="s">
        <v>5</v>
      </c>
      <c r="E961" s="8">
        <v>44616</v>
      </c>
      <c r="F961">
        <v>106</v>
      </c>
    </row>
    <row r="962" spans="1:6" x14ac:dyDescent="0.25">
      <c r="A962" t="s">
        <v>50</v>
      </c>
      <c r="B962">
        <v>3</v>
      </c>
      <c r="C962" t="s">
        <v>35</v>
      </c>
      <c r="D962" t="s">
        <v>5</v>
      </c>
      <c r="E962" s="8">
        <v>44617</v>
      </c>
      <c r="F962">
        <v>52</v>
      </c>
    </row>
    <row r="963" spans="1:6" x14ac:dyDescent="0.25">
      <c r="A963" t="s">
        <v>50</v>
      </c>
      <c r="B963">
        <v>3</v>
      </c>
      <c r="C963" t="s">
        <v>35</v>
      </c>
      <c r="D963" t="s">
        <v>5</v>
      </c>
      <c r="E963" s="8">
        <v>44628</v>
      </c>
      <c r="F963">
        <v>24</v>
      </c>
    </row>
    <row r="964" spans="1:6" x14ac:dyDescent="0.25">
      <c r="A964" t="s">
        <v>50</v>
      </c>
      <c r="B964">
        <v>3</v>
      </c>
      <c r="C964" t="s">
        <v>35</v>
      </c>
      <c r="D964" t="s">
        <v>5</v>
      </c>
      <c r="E964" s="8">
        <v>44629</v>
      </c>
      <c r="F964">
        <v>50</v>
      </c>
    </row>
    <row r="965" spans="1:6" x14ac:dyDescent="0.25">
      <c r="A965" t="s">
        <v>50</v>
      </c>
      <c r="B965">
        <v>3</v>
      </c>
      <c r="C965" t="s">
        <v>35</v>
      </c>
      <c r="D965" t="s">
        <v>5</v>
      </c>
      <c r="E965" s="8">
        <v>44633</v>
      </c>
      <c r="F965">
        <v>122</v>
      </c>
    </row>
    <row r="966" spans="1:6" x14ac:dyDescent="0.25">
      <c r="A966" t="s">
        <v>50</v>
      </c>
      <c r="B966">
        <v>3</v>
      </c>
      <c r="C966" t="s">
        <v>35</v>
      </c>
      <c r="D966" t="s">
        <v>5</v>
      </c>
      <c r="E966" s="8">
        <v>44634</v>
      </c>
      <c r="F966">
        <v>73</v>
      </c>
    </row>
    <row r="967" spans="1:6" x14ac:dyDescent="0.25">
      <c r="A967" t="s">
        <v>50</v>
      </c>
      <c r="B967">
        <v>3</v>
      </c>
      <c r="C967" t="s">
        <v>35</v>
      </c>
      <c r="D967" t="s">
        <v>5</v>
      </c>
      <c r="E967" s="8">
        <v>44635</v>
      </c>
      <c r="F967">
        <v>113</v>
      </c>
    </row>
    <row r="968" spans="1:6" x14ac:dyDescent="0.25">
      <c r="A968" t="s">
        <v>50</v>
      </c>
      <c r="B968">
        <v>3</v>
      </c>
      <c r="C968" t="s">
        <v>35</v>
      </c>
      <c r="D968" t="s">
        <v>5</v>
      </c>
      <c r="E968" s="8">
        <v>44636</v>
      </c>
      <c r="F968">
        <v>49</v>
      </c>
    </row>
    <row r="969" spans="1:6" x14ac:dyDescent="0.25">
      <c r="A969" t="s">
        <v>50</v>
      </c>
      <c r="B969">
        <v>3</v>
      </c>
      <c r="C969" t="s">
        <v>35</v>
      </c>
      <c r="D969" t="s">
        <v>5</v>
      </c>
      <c r="E969" s="8">
        <v>44637</v>
      </c>
      <c r="F969">
        <v>10</v>
      </c>
    </row>
    <row r="970" spans="1:6" x14ac:dyDescent="0.25">
      <c r="A970" t="s">
        <v>50</v>
      </c>
      <c r="B970">
        <v>3</v>
      </c>
      <c r="C970" t="s">
        <v>35</v>
      </c>
      <c r="D970" t="s">
        <v>5</v>
      </c>
      <c r="E970" s="8">
        <v>44638</v>
      </c>
      <c r="F970">
        <v>11</v>
      </c>
    </row>
    <row r="971" spans="1:6" x14ac:dyDescent="0.25">
      <c r="A971" t="s">
        <v>50</v>
      </c>
      <c r="B971">
        <v>3</v>
      </c>
      <c r="C971" t="s">
        <v>35</v>
      </c>
      <c r="D971" t="s">
        <v>5</v>
      </c>
      <c r="E971" s="8">
        <v>44646</v>
      </c>
      <c r="F971">
        <v>39</v>
      </c>
    </row>
    <row r="972" spans="1:6" x14ac:dyDescent="0.25">
      <c r="A972" t="s">
        <v>50</v>
      </c>
      <c r="B972">
        <v>3</v>
      </c>
      <c r="C972" t="s">
        <v>35</v>
      </c>
      <c r="D972" t="s">
        <v>5</v>
      </c>
      <c r="E972" s="8">
        <v>44647</v>
      </c>
      <c r="F972">
        <v>29</v>
      </c>
    </row>
    <row r="973" spans="1:6" x14ac:dyDescent="0.25">
      <c r="A973" t="s">
        <v>50</v>
      </c>
      <c r="B973">
        <v>3</v>
      </c>
      <c r="C973" t="s">
        <v>36</v>
      </c>
      <c r="D973" t="s">
        <v>6</v>
      </c>
      <c r="E973" s="8">
        <v>44457</v>
      </c>
      <c r="F973">
        <v>62</v>
      </c>
    </row>
    <row r="974" spans="1:6" x14ac:dyDescent="0.25">
      <c r="A974" t="s">
        <v>50</v>
      </c>
      <c r="B974">
        <v>3</v>
      </c>
      <c r="C974" t="s">
        <v>36</v>
      </c>
      <c r="D974" t="s">
        <v>6</v>
      </c>
      <c r="E974" s="8">
        <v>44461</v>
      </c>
      <c r="F974">
        <v>155</v>
      </c>
    </row>
    <row r="975" spans="1:6" x14ac:dyDescent="0.25">
      <c r="A975" t="s">
        <v>50</v>
      </c>
      <c r="B975">
        <v>3</v>
      </c>
      <c r="C975" t="s">
        <v>36</v>
      </c>
      <c r="D975" t="s">
        <v>6</v>
      </c>
      <c r="E975" s="8">
        <v>44462</v>
      </c>
      <c r="F975">
        <v>16</v>
      </c>
    </row>
    <row r="976" spans="1:6" x14ac:dyDescent="0.25">
      <c r="A976" t="s">
        <v>50</v>
      </c>
      <c r="B976">
        <v>3</v>
      </c>
      <c r="C976" t="s">
        <v>36</v>
      </c>
      <c r="D976" t="s">
        <v>6</v>
      </c>
      <c r="E976" s="8">
        <v>44463</v>
      </c>
      <c r="F976">
        <v>95</v>
      </c>
    </row>
    <row r="977" spans="1:6" x14ac:dyDescent="0.25">
      <c r="A977" t="s">
        <v>50</v>
      </c>
      <c r="B977">
        <v>3</v>
      </c>
      <c r="C977" t="s">
        <v>36</v>
      </c>
      <c r="D977" t="s">
        <v>6</v>
      </c>
      <c r="E977" s="8">
        <v>44464</v>
      </c>
      <c r="F977">
        <v>142</v>
      </c>
    </row>
    <row r="978" spans="1:6" x14ac:dyDescent="0.25">
      <c r="A978" t="s">
        <v>50</v>
      </c>
      <c r="B978">
        <v>3</v>
      </c>
      <c r="C978" t="s">
        <v>36</v>
      </c>
      <c r="D978" t="s">
        <v>6</v>
      </c>
      <c r="E978" s="8">
        <v>44466</v>
      </c>
      <c r="F978">
        <v>99</v>
      </c>
    </row>
    <row r="979" spans="1:6" x14ac:dyDescent="0.25">
      <c r="A979" t="s">
        <v>50</v>
      </c>
      <c r="B979">
        <v>3</v>
      </c>
      <c r="C979" t="s">
        <v>36</v>
      </c>
      <c r="D979" t="s">
        <v>6</v>
      </c>
      <c r="E979" s="8">
        <v>44467</v>
      </c>
      <c r="F979">
        <v>132</v>
      </c>
    </row>
    <row r="980" spans="1:6" x14ac:dyDescent="0.25">
      <c r="A980" t="s">
        <v>50</v>
      </c>
      <c r="B980">
        <v>3</v>
      </c>
      <c r="C980" t="s">
        <v>36</v>
      </c>
      <c r="D980" t="s">
        <v>6</v>
      </c>
      <c r="E980" s="8">
        <v>44468</v>
      </c>
      <c r="F980">
        <v>297</v>
      </c>
    </row>
    <row r="981" spans="1:6" x14ac:dyDescent="0.25">
      <c r="A981" t="s">
        <v>50</v>
      </c>
      <c r="B981">
        <v>3</v>
      </c>
      <c r="C981" t="s">
        <v>36</v>
      </c>
      <c r="D981" t="s">
        <v>6</v>
      </c>
      <c r="E981" s="8">
        <v>44469</v>
      </c>
      <c r="F981">
        <v>120</v>
      </c>
    </row>
    <row r="982" spans="1:6" x14ac:dyDescent="0.25">
      <c r="A982" t="s">
        <v>50</v>
      </c>
      <c r="B982">
        <v>3</v>
      </c>
      <c r="C982" t="s">
        <v>36</v>
      </c>
      <c r="D982" t="s">
        <v>6</v>
      </c>
      <c r="E982" s="8">
        <v>44470</v>
      </c>
      <c r="F982">
        <v>86</v>
      </c>
    </row>
    <row r="983" spans="1:6" x14ac:dyDescent="0.25">
      <c r="A983" t="s">
        <v>50</v>
      </c>
      <c r="B983">
        <v>3</v>
      </c>
      <c r="C983" t="s">
        <v>36</v>
      </c>
      <c r="D983" t="s">
        <v>6</v>
      </c>
      <c r="E983" s="8">
        <v>44471</v>
      </c>
      <c r="F983">
        <v>198</v>
      </c>
    </row>
    <row r="984" spans="1:6" x14ac:dyDescent="0.25">
      <c r="A984" t="s">
        <v>50</v>
      </c>
      <c r="B984">
        <v>3</v>
      </c>
      <c r="C984" t="s">
        <v>36</v>
      </c>
      <c r="D984" t="s">
        <v>6</v>
      </c>
      <c r="E984" s="8">
        <v>44473</v>
      </c>
      <c r="F984">
        <v>250</v>
      </c>
    </row>
    <row r="985" spans="1:6" x14ac:dyDescent="0.25">
      <c r="A985" t="s">
        <v>50</v>
      </c>
      <c r="B985">
        <v>3</v>
      </c>
      <c r="C985" t="s">
        <v>36</v>
      </c>
      <c r="D985" t="s">
        <v>6</v>
      </c>
      <c r="E985" s="8">
        <v>44474</v>
      </c>
      <c r="F985">
        <v>308</v>
      </c>
    </row>
    <row r="986" spans="1:6" x14ac:dyDescent="0.25">
      <c r="A986" t="s">
        <v>50</v>
      </c>
      <c r="B986">
        <v>3</v>
      </c>
      <c r="C986" t="s">
        <v>36</v>
      </c>
      <c r="D986" t="s">
        <v>6</v>
      </c>
      <c r="E986" s="8">
        <v>44475</v>
      </c>
      <c r="F986">
        <v>286</v>
      </c>
    </row>
    <row r="987" spans="1:6" x14ac:dyDescent="0.25">
      <c r="A987" t="s">
        <v>50</v>
      </c>
      <c r="B987">
        <v>3</v>
      </c>
      <c r="C987" t="s">
        <v>36</v>
      </c>
      <c r="D987" t="s">
        <v>6</v>
      </c>
      <c r="E987" s="8">
        <v>44476</v>
      </c>
      <c r="F987">
        <v>226</v>
      </c>
    </row>
    <row r="988" spans="1:6" x14ac:dyDescent="0.25">
      <c r="A988" t="s">
        <v>50</v>
      </c>
      <c r="B988">
        <v>3</v>
      </c>
      <c r="C988" t="s">
        <v>36</v>
      </c>
      <c r="D988" t="s">
        <v>6</v>
      </c>
      <c r="E988" s="8">
        <v>44477</v>
      </c>
      <c r="F988">
        <v>32</v>
      </c>
    </row>
    <row r="989" spans="1:6" x14ac:dyDescent="0.25">
      <c r="A989" t="s">
        <v>50</v>
      </c>
      <c r="B989">
        <v>3</v>
      </c>
      <c r="C989" t="s">
        <v>36</v>
      </c>
      <c r="D989" t="s">
        <v>6</v>
      </c>
      <c r="E989" s="8">
        <v>44478</v>
      </c>
      <c r="F989">
        <v>222</v>
      </c>
    </row>
    <row r="990" spans="1:6" x14ac:dyDescent="0.25">
      <c r="A990" t="s">
        <v>50</v>
      </c>
      <c r="B990">
        <v>3</v>
      </c>
      <c r="C990" t="s">
        <v>36</v>
      </c>
      <c r="D990" t="s">
        <v>6</v>
      </c>
      <c r="E990" s="8">
        <v>44481</v>
      </c>
      <c r="F990">
        <v>7</v>
      </c>
    </row>
    <row r="991" spans="1:6" x14ac:dyDescent="0.25">
      <c r="A991" t="s">
        <v>50</v>
      </c>
      <c r="B991">
        <v>3</v>
      </c>
      <c r="C991" t="s">
        <v>36</v>
      </c>
      <c r="D991" t="s">
        <v>6</v>
      </c>
      <c r="E991" s="8">
        <v>44482</v>
      </c>
      <c r="F991">
        <v>268</v>
      </c>
    </row>
    <row r="992" spans="1:6" x14ac:dyDescent="0.25">
      <c r="A992" t="s">
        <v>50</v>
      </c>
      <c r="B992">
        <v>3</v>
      </c>
      <c r="C992" t="s">
        <v>36</v>
      </c>
      <c r="D992" t="s">
        <v>6</v>
      </c>
      <c r="E992" s="8">
        <v>44483</v>
      </c>
      <c r="F992">
        <v>128</v>
      </c>
    </row>
    <row r="993" spans="1:6" x14ac:dyDescent="0.25">
      <c r="A993" t="s">
        <v>50</v>
      </c>
      <c r="B993">
        <v>3</v>
      </c>
      <c r="C993" t="s">
        <v>36</v>
      </c>
      <c r="D993" t="s">
        <v>6</v>
      </c>
      <c r="E993" s="8">
        <v>44484</v>
      </c>
      <c r="F993">
        <v>71</v>
      </c>
    </row>
    <row r="994" spans="1:6" x14ac:dyDescent="0.25">
      <c r="A994" t="s">
        <v>50</v>
      </c>
      <c r="B994">
        <v>3</v>
      </c>
      <c r="C994" t="s">
        <v>36</v>
      </c>
      <c r="D994" t="s">
        <v>6</v>
      </c>
      <c r="E994" s="8">
        <v>44485</v>
      </c>
      <c r="F994">
        <v>33</v>
      </c>
    </row>
    <row r="995" spans="1:6" x14ac:dyDescent="0.25">
      <c r="A995" t="s">
        <v>50</v>
      </c>
      <c r="B995">
        <v>3</v>
      </c>
      <c r="C995" t="s">
        <v>36</v>
      </c>
      <c r="D995" t="s">
        <v>6</v>
      </c>
      <c r="E995" s="8">
        <v>44487</v>
      </c>
      <c r="F995">
        <v>176</v>
      </c>
    </row>
    <row r="996" spans="1:6" x14ac:dyDescent="0.25">
      <c r="A996" t="s">
        <v>50</v>
      </c>
      <c r="B996">
        <v>3</v>
      </c>
      <c r="C996" t="s">
        <v>36</v>
      </c>
      <c r="D996" t="s">
        <v>6</v>
      </c>
      <c r="E996" s="8">
        <v>44488</v>
      </c>
      <c r="F996">
        <v>121</v>
      </c>
    </row>
    <row r="997" spans="1:6" x14ac:dyDescent="0.25">
      <c r="A997" t="s">
        <v>50</v>
      </c>
      <c r="B997">
        <v>3</v>
      </c>
      <c r="C997" t="s">
        <v>36</v>
      </c>
      <c r="D997" t="s">
        <v>6</v>
      </c>
      <c r="E997" s="8">
        <v>44489</v>
      </c>
      <c r="F997">
        <v>222</v>
      </c>
    </row>
    <row r="998" spans="1:6" x14ac:dyDescent="0.25">
      <c r="A998" t="s">
        <v>50</v>
      </c>
      <c r="B998">
        <v>3</v>
      </c>
      <c r="C998" t="s">
        <v>36</v>
      </c>
      <c r="D998" t="s">
        <v>6</v>
      </c>
      <c r="E998" s="8">
        <v>44490</v>
      </c>
      <c r="F998">
        <v>182</v>
      </c>
    </row>
    <row r="999" spans="1:6" x14ac:dyDescent="0.25">
      <c r="A999" t="s">
        <v>50</v>
      </c>
      <c r="B999">
        <v>3</v>
      </c>
      <c r="C999" t="s">
        <v>36</v>
      </c>
      <c r="D999" t="s">
        <v>6</v>
      </c>
      <c r="E999" s="8">
        <v>44491</v>
      </c>
      <c r="F999">
        <v>139</v>
      </c>
    </row>
    <row r="1000" spans="1:6" x14ac:dyDescent="0.25">
      <c r="A1000" t="s">
        <v>50</v>
      </c>
      <c r="B1000">
        <v>3</v>
      </c>
      <c r="C1000" t="s">
        <v>36</v>
      </c>
      <c r="D1000" t="s">
        <v>6</v>
      </c>
      <c r="E1000" s="8">
        <v>44492</v>
      </c>
      <c r="F1000">
        <v>18</v>
      </c>
    </row>
    <row r="1001" spans="1:6" x14ac:dyDescent="0.25">
      <c r="A1001" t="s">
        <v>50</v>
      </c>
      <c r="B1001">
        <v>3</v>
      </c>
      <c r="C1001" t="s">
        <v>36</v>
      </c>
      <c r="D1001" t="s">
        <v>6</v>
      </c>
      <c r="E1001" s="8">
        <v>44494</v>
      </c>
      <c r="F1001">
        <v>101</v>
      </c>
    </row>
    <row r="1002" spans="1:6" x14ac:dyDescent="0.25">
      <c r="A1002" t="s">
        <v>50</v>
      </c>
      <c r="B1002">
        <v>3</v>
      </c>
      <c r="C1002" t="s">
        <v>36</v>
      </c>
      <c r="D1002" t="s">
        <v>6</v>
      </c>
      <c r="E1002" s="8">
        <v>44495</v>
      </c>
      <c r="F1002">
        <v>139</v>
      </c>
    </row>
    <row r="1003" spans="1:6" x14ac:dyDescent="0.25">
      <c r="A1003" t="s">
        <v>50</v>
      </c>
      <c r="B1003">
        <v>3</v>
      </c>
      <c r="C1003" t="s">
        <v>36</v>
      </c>
      <c r="D1003" t="s">
        <v>6</v>
      </c>
      <c r="E1003" s="8">
        <v>44496</v>
      </c>
      <c r="F1003">
        <v>212</v>
      </c>
    </row>
    <row r="1004" spans="1:6" x14ac:dyDescent="0.25">
      <c r="A1004" t="s">
        <v>50</v>
      </c>
      <c r="B1004">
        <v>3</v>
      </c>
      <c r="C1004" t="s">
        <v>36</v>
      </c>
      <c r="D1004" t="s">
        <v>6</v>
      </c>
      <c r="E1004" s="8">
        <v>44497</v>
      </c>
      <c r="F1004">
        <v>43</v>
      </c>
    </row>
    <row r="1005" spans="1:6" x14ac:dyDescent="0.25">
      <c r="A1005" t="s">
        <v>50</v>
      </c>
      <c r="B1005">
        <v>3</v>
      </c>
      <c r="C1005" t="s">
        <v>36</v>
      </c>
      <c r="D1005" t="s">
        <v>6</v>
      </c>
      <c r="E1005" s="8">
        <v>44498</v>
      </c>
      <c r="F1005">
        <v>177</v>
      </c>
    </row>
    <row r="1006" spans="1:6" x14ac:dyDescent="0.25">
      <c r="A1006" t="s">
        <v>50</v>
      </c>
      <c r="B1006">
        <v>3</v>
      </c>
      <c r="C1006" t="s">
        <v>36</v>
      </c>
      <c r="D1006" t="s">
        <v>6</v>
      </c>
      <c r="E1006" s="8">
        <v>44499</v>
      </c>
      <c r="F1006">
        <v>75</v>
      </c>
    </row>
    <row r="1007" spans="1:6" x14ac:dyDescent="0.25">
      <c r="A1007" t="s">
        <v>50</v>
      </c>
      <c r="B1007">
        <v>3</v>
      </c>
      <c r="C1007" t="s">
        <v>37</v>
      </c>
      <c r="D1007" t="s">
        <v>6</v>
      </c>
      <c r="E1007" s="8">
        <v>44452</v>
      </c>
      <c r="F1007">
        <v>3</v>
      </c>
    </row>
    <row r="1008" spans="1:6" x14ac:dyDescent="0.25">
      <c r="A1008" t="s">
        <v>50</v>
      </c>
      <c r="B1008">
        <v>3</v>
      </c>
      <c r="C1008" t="s">
        <v>37</v>
      </c>
      <c r="D1008" t="s">
        <v>6</v>
      </c>
      <c r="E1008" s="8">
        <v>44457</v>
      </c>
      <c r="F1008">
        <v>112</v>
      </c>
    </row>
    <row r="1009" spans="1:6" x14ac:dyDescent="0.25">
      <c r="A1009" t="s">
        <v>50</v>
      </c>
      <c r="B1009">
        <v>3</v>
      </c>
      <c r="C1009" t="s">
        <v>37</v>
      </c>
      <c r="D1009" t="s">
        <v>6</v>
      </c>
      <c r="E1009" s="8">
        <v>44458</v>
      </c>
      <c r="F1009">
        <v>25</v>
      </c>
    </row>
    <row r="1010" spans="1:6" x14ac:dyDescent="0.25">
      <c r="A1010" t="s">
        <v>50</v>
      </c>
      <c r="B1010">
        <v>3</v>
      </c>
      <c r="C1010" t="s">
        <v>37</v>
      </c>
      <c r="D1010" t="s">
        <v>6</v>
      </c>
      <c r="E1010" s="8">
        <v>44459</v>
      </c>
      <c r="F1010">
        <v>247</v>
      </c>
    </row>
    <row r="1011" spans="1:6" x14ac:dyDescent="0.25">
      <c r="A1011" t="s">
        <v>50</v>
      </c>
      <c r="B1011">
        <v>3</v>
      </c>
      <c r="C1011" t="s">
        <v>37</v>
      </c>
      <c r="D1011" t="s">
        <v>6</v>
      </c>
      <c r="E1011" s="8">
        <v>44460</v>
      </c>
      <c r="F1011">
        <v>8</v>
      </c>
    </row>
    <row r="1012" spans="1:6" x14ac:dyDescent="0.25">
      <c r="A1012" t="s">
        <v>50</v>
      </c>
      <c r="B1012">
        <v>3</v>
      </c>
      <c r="C1012" t="s">
        <v>37</v>
      </c>
      <c r="D1012" t="s">
        <v>6</v>
      </c>
      <c r="E1012" s="8">
        <v>44461</v>
      </c>
      <c r="F1012">
        <v>77</v>
      </c>
    </row>
    <row r="1013" spans="1:6" x14ac:dyDescent="0.25">
      <c r="A1013" t="s">
        <v>50</v>
      </c>
      <c r="B1013">
        <v>3</v>
      </c>
      <c r="C1013" t="s">
        <v>37</v>
      </c>
      <c r="D1013" t="s">
        <v>6</v>
      </c>
      <c r="E1013" s="8">
        <v>44501</v>
      </c>
      <c r="F1013">
        <v>203</v>
      </c>
    </row>
    <row r="1014" spans="1:6" x14ac:dyDescent="0.25">
      <c r="A1014" t="s">
        <v>50</v>
      </c>
      <c r="B1014">
        <v>3</v>
      </c>
      <c r="C1014" t="s">
        <v>37</v>
      </c>
      <c r="D1014" t="s">
        <v>6</v>
      </c>
      <c r="E1014" s="8">
        <v>44502</v>
      </c>
      <c r="F1014">
        <v>154</v>
      </c>
    </row>
    <row r="1015" spans="1:6" x14ac:dyDescent="0.25">
      <c r="A1015" t="s">
        <v>50</v>
      </c>
      <c r="B1015">
        <v>3</v>
      </c>
      <c r="C1015" t="s">
        <v>37</v>
      </c>
      <c r="D1015" t="s">
        <v>6</v>
      </c>
      <c r="E1015" s="8">
        <v>44503</v>
      </c>
      <c r="F1015">
        <v>73</v>
      </c>
    </row>
    <row r="1016" spans="1:6" x14ac:dyDescent="0.25">
      <c r="A1016" t="s">
        <v>50</v>
      </c>
      <c r="B1016">
        <v>3</v>
      </c>
      <c r="C1016" t="s">
        <v>37</v>
      </c>
      <c r="D1016" t="s">
        <v>6</v>
      </c>
      <c r="E1016" s="8">
        <v>44504</v>
      </c>
      <c r="F1016">
        <v>25</v>
      </c>
    </row>
    <row r="1017" spans="1:6" x14ac:dyDescent="0.25">
      <c r="A1017" t="s">
        <v>50</v>
      </c>
      <c r="B1017">
        <v>3</v>
      </c>
      <c r="C1017" t="s">
        <v>37</v>
      </c>
      <c r="D1017" t="s">
        <v>6</v>
      </c>
      <c r="E1017" s="8">
        <v>44505</v>
      </c>
      <c r="F1017">
        <v>85</v>
      </c>
    </row>
    <row r="1018" spans="1:6" x14ac:dyDescent="0.25">
      <c r="A1018" t="s">
        <v>50</v>
      </c>
      <c r="B1018">
        <v>3</v>
      </c>
      <c r="C1018" t="s">
        <v>37</v>
      </c>
      <c r="D1018" t="s">
        <v>6</v>
      </c>
      <c r="E1018" s="8">
        <v>44509</v>
      </c>
      <c r="F1018">
        <v>144</v>
      </c>
    </row>
    <row r="1019" spans="1:6" x14ac:dyDescent="0.25">
      <c r="A1019" t="s">
        <v>50</v>
      </c>
      <c r="B1019">
        <v>3</v>
      </c>
      <c r="C1019" t="s">
        <v>37</v>
      </c>
      <c r="D1019" t="s">
        <v>6</v>
      </c>
      <c r="E1019" s="8">
        <v>44510</v>
      </c>
      <c r="F1019">
        <v>111</v>
      </c>
    </row>
    <row r="1020" spans="1:6" x14ac:dyDescent="0.25">
      <c r="A1020" t="s">
        <v>50</v>
      </c>
      <c r="B1020">
        <v>3</v>
      </c>
      <c r="C1020" t="s">
        <v>37</v>
      </c>
      <c r="D1020" t="s">
        <v>6</v>
      </c>
      <c r="E1020" s="8">
        <v>44511</v>
      </c>
      <c r="F1020">
        <v>128</v>
      </c>
    </row>
    <row r="1021" spans="1:6" x14ac:dyDescent="0.25">
      <c r="A1021" t="s">
        <v>50</v>
      </c>
      <c r="B1021">
        <v>3</v>
      </c>
      <c r="C1021" t="s">
        <v>37</v>
      </c>
      <c r="D1021" t="s">
        <v>6</v>
      </c>
      <c r="E1021" s="8">
        <v>44518</v>
      </c>
      <c r="F1021">
        <v>47</v>
      </c>
    </row>
    <row r="1022" spans="1:6" x14ac:dyDescent="0.25">
      <c r="A1022" t="s">
        <v>50</v>
      </c>
      <c r="B1022">
        <v>3</v>
      </c>
      <c r="C1022" t="s">
        <v>37</v>
      </c>
      <c r="D1022" t="s">
        <v>6</v>
      </c>
      <c r="E1022" s="8">
        <v>44519</v>
      </c>
      <c r="F1022">
        <v>74</v>
      </c>
    </row>
    <row r="1023" spans="1:6" x14ac:dyDescent="0.25">
      <c r="A1023" t="s">
        <v>50</v>
      </c>
      <c r="B1023">
        <v>3</v>
      </c>
      <c r="C1023" t="s">
        <v>37</v>
      </c>
      <c r="D1023" t="s">
        <v>6</v>
      </c>
      <c r="E1023" s="8">
        <v>44520</v>
      </c>
      <c r="F1023">
        <v>10</v>
      </c>
    </row>
    <row r="1024" spans="1:6" x14ac:dyDescent="0.25">
      <c r="A1024" t="s">
        <v>50</v>
      </c>
      <c r="B1024">
        <v>3</v>
      </c>
      <c r="C1024" t="s">
        <v>37</v>
      </c>
      <c r="D1024" t="s">
        <v>6</v>
      </c>
      <c r="E1024" s="8">
        <v>44521</v>
      </c>
      <c r="F1024">
        <v>109</v>
      </c>
    </row>
    <row r="1025" spans="1:6" x14ac:dyDescent="0.25">
      <c r="A1025" t="s">
        <v>50</v>
      </c>
      <c r="B1025">
        <v>3</v>
      </c>
      <c r="C1025" t="s">
        <v>37</v>
      </c>
      <c r="D1025" t="s">
        <v>6</v>
      </c>
      <c r="E1025" s="8">
        <v>44543</v>
      </c>
      <c r="F1025">
        <v>11</v>
      </c>
    </row>
    <row r="1026" spans="1:6" x14ac:dyDescent="0.25">
      <c r="A1026" t="s">
        <v>50</v>
      </c>
      <c r="B1026">
        <v>3</v>
      </c>
      <c r="C1026" t="s">
        <v>37</v>
      </c>
      <c r="D1026" t="s">
        <v>6</v>
      </c>
      <c r="E1026" s="8">
        <v>44643</v>
      </c>
      <c r="F1026">
        <v>3</v>
      </c>
    </row>
    <row r="1027" spans="1:6" x14ac:dyDescent="0.25">
      <c r="A1027" t="s">
        <v>50</v>
      </c>
      <c r="B1027">
        <v>3</v>
      </c>
      <c r="C1027" t="s">
        <v>38</v>
      </c>
      <c r="D1027" t="s">
        <v>5</v>
      </c>
      <c r="E1027" s="8">
        <v>44628</v>
      </c>
      <c r="F1027">
        <v>42</v>
      </c>
    </row>
    <row r="1028" spans="1:6" x14ac:dyDescent="0.25">
      <c r="A1028" t="s">
        <v>50</v>
      </c>
      <c r="B1028">
        <v>3</v>
      </c>
      <c r="C1028" t="s">
        <v>38</v>
      </c>
      <c r="D1028" t="s">
        <v>5</v>
      </c>
      <c r="E1028" s="8">
        <v>44636</v>
      </c>
      <c r="F1028">
        <v>53</v>
      </c>
    </row>
    <row r="1029" spans="1:6" x14ac:dyDescent="0.25">
      <c r="A1029" t="s">
        <v>50</v>
      </c>
      <c r="B1029">
        <v>3</v>
      </c>
      <c r="C1029" t="s">
        <v>38</v>
      </c>
      <c r="D1029" t="s">
        <v>5</v>
      </c>
      <c r="E1029" s="8">
        <v>44640</v>
      </c>
      <c r="F1029">
        <v>14</v>
      </c>
    </row>
    <row r="1030" spans="1:6" x14ac:dyDescent="0.25">
      <c r="A1030" t="s">
        <v>51</v>
      </c>
      <c r="B1030">
        <v>1</v>
      </c>
      <c r="C1030" t="s">
        <v>10</v>
      </c>
      <c r="D1030" t="s">
        <v>0</v>
      </c>
      <c r="E1030" s="8">
        <v>44794</v>
      </c>
      <c r="F1030">
        <v>133</v>
      </c>
    </row>
    <row r="1031" spans="1:6" x14ac:dyDescent="0.25">
      <c r="A1031" t="s">
        <v>51</v>
      </c>
      <c r="B1031">
        <v>1</v>
      </c>
      <c r="C1031" t="s">
        <v>10</v>
      </c>
      <c r="D1031" t="s">
        <v>0</v>
      </c>
      <c r="E1031" s="8">
        <v>44795</v>
      </c>
      <c r="F1031">
        <v>279</v>
      </c>
    </row>
    <row r="1032" spans="1:6" x14ac:dyDescent="0.25">
      <c r="A1032" t="s">
        <v>51</v>
      </c>
      <c r="B1032">
        <v>1</v>
      </c>
      <c r="C1032" t="s">
        <v>10</v>
      </c>
      <c r="D1032" t="s">
        <v>0</v>
      </c>
      <c r="E1032" s="8">
        <v>44796</v>
      </c>
      <c r="F1032">
        <v>4</v>
      </c>
    </row>
    <row r="1033" spans="1:6" x14ac:dyDescent="0.25">
      <c r="A1033" t="s">
        <v>51</v>
      </c>
      <c r="B1033">
        <v>1</v>
      </c>
      <c r="C1033" t="s">
        <v>10</v>
      </c>
      <c r="D1033" t="s">
        <v>0</v>
      </c>
      <c r="E1033" s="8">
        <v>44797</v>
      </c>
      <c r="F1033">
        <v>79</v>
      </c>
    </row>
    <row r="1034" spans="1:6" x14ac:dyDescent="0.25">
      <c r="A1034" t="s">
        <v>51</v>
      </c>
      <c r="B1034">
        <v>1</v>
      </c>
      <c r="C1034" t="s">
        <v>10</v>
      </c>
      <c r="D1034" t="s">
        <v>0</v>
      </c>
      <c r="E1034" s="8">
        <v>44798</v>
      </c>
      <c r="F1034">
        <v>187</v>
      </c>
    </row>
    <row r="1035" spans="1:6" x14ac:dyDescent="0.25">
      <c r="A1035" t="s">
        <v>51</v>
      </c>
      <c r="B1035">
        <v>1</v>
      </c>
      <c r="C1035" t="s">
        <v>10</v>
      </c>
      <c r="D1035" t="s">
        <v>0</v>
      </c>
      <c r="E1035" s="8">
        <v>44799</v>
      </c>
      <c r="F1035">
        <v>312</v>
      </c>
    </row>
    <row r="1036" spans="1:6" x14ac:dyDescent="0.25">
      <c r="A1036" t="s">
        <v>51</v>
      </c>
      <c r="B1036">
        <v>1</v>
      </c>
      <c r="C1036" t="s">
        <v>10</v>
      </c>
      <c r="D1036" t="s">
        <v>0</v>
      </c>
      <c r="E1036" s="8">
        <v>44800</v>
      </c>
      <c r="F1036">
        <v>172</v>
      </c>
    </row>
    <row r="1037" spans="1:6" x14ac:dyDescent="0.25">
      <c r="A1037" t="s">
        <v>51</v>
      </c>
      <c r="B1037">
        <v>1</v>
      </c>
      <c r="C1037" t="s">
        <v>10</v>
      </c>
      <c r="D1037" t="s">
        <v>0</v>
      </c>
      <c r="E1037" s="8">
        <v>44801</v>
      </c>
      <c r="F1037">
        <v>31</v>
      </c>
    </row>
    <row r="1038" spans="1:6" x14ac:dyDescent="0.25">
      <c r="A1038" t="s">
        <v>51</v>
      </c>
      <c r="B1038">
        <v>1</v>
      </c>
      <c r="C1038" t="s">
        <v>11</v>
      </c>
      <c r="D1038" t="s">
        <v>0</v>
      </c>
      <c r="E1038" s="8">
        <v>44770</v>
      </c>
      <c r="F1038">
        <v>5</v>
      </c>
    </row>
    <row r="1039" spans="1:6" x14ac:dyDescent="0.25">
      <c r="A1039" t="s">
        <v>51</v>
      </c>
      <c r="B1039">
        <v>1</v>
      </c>
      <c r="C1039" t="s">
        <v>11</v>
      </c>
      <c r="D1039" t="s">
        <v>0</v>
      </c>
      <c r="E1039" s="8">
        <v>44777</v>
      </c>
      <c r="F1039">
        <v>135</v>
      </c>
    </row>
    <row r="1040" spans="1:6" x14ac:dyDescent="0.25">
      <c r="A1040" t="s">
        <v>51</v>
      </c>
      <c r="B1040">
        <v>1</v>
      </c>
      <c r="C1040" t="s">
        <v>11</v>
      </c>
      <c r="D1040" t="s">
        <v>0</v>
      </c>
      <c r="E1040" s="8">
        <v>44778</v>
      </c>
      <c r="F1040">
        <v>118</v>
      </c>
    </row>
    <row r="1041" spans="1:6" x14ac:dyDescent="0.25">
      <c r="A1041" t="s">
        <v>51</v>
      </c>
      <c r="B1041">
        <v>1</v>
      </c>
      <c r="C1041" t="s">
        <v>11</v>
      </c>
      <c r="D1041" t="s">
        <v>0</v>
      </c>
      <c r="E1041" s="8">
        <v>44786</v>
      </c>
      <c r="F1041">
        <v>0</v>
      </c>
    </row>
    <row r="1042" spans="1:6" x14ac:dyDescent="0.25">
      <c r="A1042" t="s">
        <v>51</v>
      </c>
      <c r="B1042">
        <v>1</v>
      </c>
      <c r="C1042" t="s">
        <v>11</v>
      </c>
      <c r="D1042" t="s">
        <v>0</v>
      </c>
      <c r="E1042" s="8">
        <v>44787</v>
      </c>
      <c r="F1042">
        <v>184</v>
      </c>
    </row>
    <row r="1043" spans="1:6" x14ac:dyDescent="0.25">
      <c r="A1043" t="s">
        <v>51</v>
      </c>
      <c r="B1043">
        <v>1</v>
      </c>
      <c r="C1043" t="s">
        <v>11</v>
      </c>
      <c r="D1043" t="s">
        <v>0</v>
      </c>
      <c r="E1043" s="8">
        <v>44789</v>
      </c>
      <c r="F1043">
        <v>15</v>
      </c>
    </row>
    <row r="1044" spans="1:6" x14ac:dyDescent="0.25">
      <c r="A1044" t="s">
        <v>51</v>
      </c>
      <c r="B1044">
        <v>1</v>
      </c>
      <c r="C1044" t="s">
        <v>11</v>
      </c>
      <c r="D1044" t="s">
        <v>0</v>
      </c>
      <c r="E1044" s="8">
        <v>44790</v>
      </c>
      <c r="F1044">
        <v>57</v>
      </c>
    </row>
    <row r="1045" spans="1:6" x14ac:dyDescent="0.25">
      <c r="A1045" t="s">
        <v>51</v>
      </c>
      <c r="B1045">
        <v>1</v>
      </c>
      <c r="C1045" t="s">
        <v>11</v>
      </c>
      <c r="D1045" t="s">
        <v>0</v>
      </c>
      <c r="E1045" s="8">
        <v>44791</v>
      </c>
      <c r="F1045">
        <v>61</v>
      </c>
    </row>
    <row r="1046" spans="1:6" x14ac:dyDescent="0.25">
      <c r="A1046" t="s">
        <v>51</v>
      </c>
      <c r="B1046">
        <v>1</v>
      </c>
      <c r="C1046" t="s">
        <v>11</v>
      </c>
      <c r="D1046" t="s">
        <v>0</v>
      </c>
      <c r="E1046" s="8">
        <v>44794</v>
      </c>
      <c r="F1046">
        <v>64</v>
      </c>
    </row>
    <row r="1047" spans="1:6" x14ac:dyDescent="0.25">
      <c r="A1047" t="s">
        <v>51</v>
      </c>
      <c r="B1047">
        <v>1</v>
      </c>
      <c r="C1047" t="s">
        <v>12</v>
      </c>
      <c r="D1047" t="s">
        <v>0</v>
      </c>
      <c r="E1047" s="8">
        <v>44745</v>
      </c>
      <c r="F1047">
        <v>112</v>
      </c>
    </row>
    <row r="1048" spans="1:6" x14ac:dyDescent="0.25">
      <c r="A1048" t="s">
        <v>51</v>
      </c>
      <c r="B1048">
        <v>1</v>
      </c>
      <c r="C1048" t="s">
        <v>12</v>
      </c>
      <c r="D1048" t="s">
        <v>0</v>
      </c>
      <c r="E1048" s="8">
        <v>44746</v>
      </c>
      <c r="F1048">
        <v>309</v>
      </c>
    </row>
    <row r="1049" spans="1:6" x14ac:dyDescent="0.25">
      <c r="A1049" t="s">
        <v>51</v>
      </c>
      <c r="B1049">
        <v>1</v>
      </c>
      <c r="C1049" t="s">
        <v>12</v>
      </c>
      <c r="D1049" t="s">
        <v>0</v>
      </c>
      <c r="E1049" s="8">
        <v>44747</v>
      </c>
      <c r="F1049">
        <v>52</v>
      </c>
    </row>
    <row r="1050" spans="1:6" x14ac:dyDescent="0.25">
      <c r="A1050" t="s">
        <v>51</v>
      </c>
      <c r="B1050">
        <v>1</v>
      </c>
      <c r="C1050" t="s">
        <v>13</v>
      </c>
      <c r="D1050" t="s">
        <v>0</v>
      </c>
      <c r="E1050" s="8">
        <v>44723</v>
      </c>
      <c r="F1050">
        <v>47</v>
      </c>
    </row>
    <row r="1051" spans="1:6" x14ac:dyDescent="0.25">
      <c r="A1051" t="s">
        <v>51</v>
      </c>
      <c r="B1051">
        <v>1</v>
      </c>
      <c r="C1051" t="s">
        <v>13</v>
      </c>
      <c r="D1051" t="s">
        <v>1</v>
      </c>
      <c r="E1051" s="8">
        <v>44721</v>
      </c>
      <c r="F1051">
        <v>49</v>
      </c>
    </row>
    <row r="1052" spans="1:6" x14ac:dyDescent="0.25">
      <c r="A1052" t="s">
        <v>51</v>
      </c>
      <c r="B1052">
        <v>1</v>
      </c>
      <c r="C1052" t="s">
        <v>13</v>
      </c>
      <c r="D1052" t="s">
        <v>1</v>
      </c>
      <c r="E1052" s="8">
        <v>44722</v>
      </c>
      <c r="F1052">
        <v>17</v>
      </c>
    </row>
    <row r="1053" spans="1:6" x14ac:dyDescent="0.25">
      <c r="A1053" t="s">
        <v>51</v>
      </c>
      <c r="B1053">
        <v>1</v>
      </c>
      <c r="C1053" t="s">
        <v>13</v>
      </c>
      <c r="D1053" t="s">
        <v>1</v>
      </c>
      <c r="E1053" s="8">
        <v>44723</v>
      </c>
      <c r="F1053">
        <v>16</v>
      </c>
    </row>
    <row r="1054" spans="1:6" x14ac:dyDescent="0.25">
      <c r="A1054" t="s">
        <v>51</v>
      </c>
      <c r="B1054">
        <v>1</v>
      </c>
      <c r="C1054" t="s">
        <v>13</v>
      </c>
      <c r="D1054" t="s">
        <v>1</v>
      </c>
      <c r="E1054" s="8">
        <v>44727</v>
      </c>
      <c r="F1054">
        <v>29</v>
      </c>
    </row>
    <row r="1055" spans="1:6" x14ac:dyDescent="0.25">
      <c r="A1055" t="s">
        <v>51</v>
      </c>
      <c r="B1055">
        <v>1</v>
      </c>
      <c r="C1055" t="s">
        <v>13</v>
      </c>
      <c r="D1055" t="s">
        <v>1</v>
      </c>
      <c r="E1055" s="8">
        <v>44728</v>
      </c>
      <c r="F1055">
        <v>49</v>
      </c>
    </row>
    <row r="1056" spans="1:6" x14ac:dyDescent="0.25">
      <c r="A1056" t="s">
        <v>51</v>
      </c>
      <c r="B1056">
        <v>1</v>
      </c>
      <c r="C1056" t="s">
        <v>14</v>
      </c>
      <c r="D1056" t="s">
        <v>0</v>
      </c>
      <c r="E1056" s="8">
        <v>44723</v>
      </c>
      <c r="F1056">
        <v>17</v>
      </c>
    </row>
    <row r="1057" spans="1:6" x14ac:dyDescent="0.25">
      <c r="A1057" t="s">
        <v>51</v>
      </c>
      <c r="B1057">
        <v>1</v>
      </c>
      <c r="C1057" t="s">
        <v>14</v>
      </c>
      <c r="D1057" t="s">
        <v>0</v>
      </c>
      <c r="E1057" s="8">
        <v>44724</v>
      </c>
      <c r="F1057">
        <v>105</v>
      </c>
    </row>
    <row r="1058" spans="1:6" x14ac:dyDescent="0.25">
      <c r="A1058" t="s">
        <v>51</v>
      </c>
      <c r="B1058">
        <v>1</v>
      </c>
      <c r="C1058" t="s">
        <v>14</v>
      </c>
      <c r="D1058" t="s">
        <v>0</v>
      </c>
      <c r="E1058" s="8">
        <v>44725</v>
      </c>
      <c r="F1058">
        <v>44</v>
      </c>
    </row>
    <row r="1059" spans="1:6" x14ac:dyDescent="0.25">
      <c r="A1059" t="s">
        <v>51</v>
      </c>
      <c r="B1059">
        <v>1</v>
      </c>
      <c r="C1059" t="s">
        <v>14</v>
      </c>
      <c r="D1059" t="s">
        <v>1</v>
      </c>
      <c r="E1059" s="8">
        <v>44722</v>
      </c>
      <c r="F1059">
        <v>28</v>
      </c>
    </row>
    <row r="1060" spans="1:6" x14ac:dyDescent="0.25">
      <c r="A1060" t="s">
        <v>51</v>
      </c>
      <c r="B1060">
        <v>1</v>
      </c>
      <c r="C1060" t="s">
        <v>14</v>
      </c>
      <c r="D1060" t="s">
        <v>1</v>
      </c>
      <c r="E1060" s="8">
        <v>44723</v>
      </c>
      <c r="F1060">
        <v>25</v>
      </c>
    </row>
    <row r="1061" spans="1:6" x14ac:dyDescent="0.25">
      <c r="A1061" t="s">
        <v>51</v>
      </c>
      <c r="B1061">
        <v>1</v>
      </c>
      <c r="C1061" t="s">
        <v>14</v>
      </c>
      <c r="D1061" t="s">
        <v>1</v>
      </c>
      <c r="E1061" s="8">
        <v>44724</v>
      </c>
      <c r="F1061">
        <v>83</v>
      </c>
    </row>
    <row r="1062" spans="1:6" x14ac:dyDescent="0.25">
      <c r="A1062" t="s">
        <v>51</v>
      </c>
      <c r="B1062">
        <v>1</v>
      </c>
      <c r="C1062" t="s">
        <v>14</v>
      </c>
      <c r="D1062" t="s">
        <v>1</v>
      </c>
      <c r="E1062" s="8">
        <v>44725</v>
      </c>
      <c r="F1062">
        <v>107</v>
      </c>
    </row>
    <row r="1063" spans="1:6" x14ac:dyDescent="0.25">
      <c r="A1063" t="s">
        <v>51</v>
      </c>
      <c r="B1063">
        <v>1</v>
      </c>
      <c r="C1063" t="s">
        <v>14</v>
      </c>
      <c r="D1063" t="s">
        <v>1</v>
      </c>
      <c r="E1063" s="8">
        <v>44726</v>
      </c>
      <c r="F1063">
        <v>84</v>
      </c>
    </row>
    <row r="1064" spans="1:6" x14ac:dyDescent="0.25">
      <c r="A1064" t="s">
        <v>51</v>
      </c>
      <c r="B1064">
        <v>1</v>
      </c>
      <c r="C1064" t="s">
        <v>14</v>
      </c>
      <c r="D1064" t="s">
        <v>1</v>
      </c>
      <c r="E1064" s="8">
        <v>44728</v>
      </c>
      <c r="F1064">
        <v>69</v>
      </c>
    </row>
    <row r="1065" spans="1:6" x14ac:dyDescent="0.25">
      <c r="A1065" t="s">
        <v>51</v>
      </c>
      <c r="B1065">
        <v>1</v>
      </c>
      <c r="C1065" t="s">
        <v>14</v>
      </c>
      <c r="D1065" t="s">
        <v>1</v>
      </c>
      <c r="E1065" s="8">
        <v>44729</v>
      </c>
      <c r="F1065">
        <v>28</v>
      </c>
    </row>
    <row r="1066" spans="1:6" x14ac:dyDescent="0.25">
      <c r="A1066" t="s">
        <v>51</v>
      </c>
      <c r="B1066">
        <v>1</v>
      </c>
      <c r="C1066" t="s">
        <v>14</v>
      </c>
      <c r="D1066" t="s">
        <v>1</v>
      </c>
      <c r="E1066" s="8">
        <v>44730</v>
      </c>
      <c r="F1066">
        <v>136</v>
      </c>
    </row>
    <row r="1067" spans="1:6" x14ac:dyDescent="0.25">
      <c r="A1067" t="s">
        <v>51</v>
      </c>
      <c r="B1067">
        <v>1</v>
      </c>
      <c r="C1067" t="s">
        <v>14</v>
      </c>
      <c r="D1067" t="s">
        <v>1</v>
      </c>
      <c r="E1067" s="8">
        <v>44731</v>
      </c>
      <c r="F1067">
        <v>54</v>
      </c>
    </row>
    <row r="1068" spans="1:6" x14ac:dyDescent="0.25">
      <c r="A1068" t="s">
        <v>51</v>
      </c>
      <c r="B1068">
        <v>1</v>
      </c>
      <c r="C1068" t="s">
        <v>14</v>
      </c>
      <c r="D1068" t="s">
        <v>1</v>
      </c>
      <c r="E1068" s="8">
        <v>44732</v>
      </c>
      <c r="F1068">
        <v>157</v>
      </c>
    </row>
    <row r="1069" spans="1:6" x14ac:dyDescent="0.25">
      <c r="A1069" t="s">
        <v>51</v>
      </c>
      <c r="B1069">
        <v>1</v>
      </c>
      <c r="C1069" t="s">
        <v>14</v>
      </c>
      <c r="D1069" t="s">
        <v>1</v>
      </c>
      <c r="E1069" s="8">
        <v>44741</v>
      </c>
      <c r="F1069">
        <v>85</v>
      </c>
    </row>
    <row r="1070" spans="1:6" x14ac:dyDescent="0.25">
      <c r="A1070" t="s">
        <v>51</v>
      </c>
      <c r="B1070">
        <v>1</v>
      </c>
      <c r="C1070" t="s">
        <v>14</v>
      </c>
      <c r="D1070" t="s">
        <v>1</v>
      </c>
      <c r="E1070" s="8">
        <v>44744</v>
      </c>
      <c r="F1070">
        <v>97</v>
      </c>
    </row>
    <row r="1071" spans="1:6" x14ac:dyDescent="0.25">
      <c r="A1071" t="s">
        <v>51</v>
      </c>
      <c r="B1071">
        <v>1</v>
      </c>
      <c r="C1071" t="s">
        <v>14</v>
      </c>
      <c r="D1071" t="s">
        <v>1</v>
      </c>
      <c r="E1071" s="8">
        <v>44745</v>
      </c>
      <c r="F1071">
        <v>159</v>
      </c>
    </row>
    <row r="1072" spans="1:6" x14ac:dyDescent="0.25">
      <c r="A1072" t="s">
        <v>51</v>
      </c>
      <c r="B1072">
        <v>1</v>
      </c>
      <c r="C1072" t="s">
        <v>14</v>
      </c>
      <c r="D1072" t="s">
        <v>1</v>
      </c>
      <c r="E1072" s="8">
        <v>44746</v>
      </c>
      <c r="F1072">
        <v>194</v>
      </c>
    </row>
    <row r="1073" spans="1:6" x14ac:dyDescent="0.25">
      <c r="A1073" t="s">
        <v>51</v>
      </c>
      <c r="B1073">
        <v>1</v>
      </c>
      <c r="C1073" t="s">
        <v>14</v>
      </c>
      <c r="D1073" t="s">
        <v>1</v>
      </c>
      <c r="E1073" s="8">
        <v>44747</v>
      </c>
      <c r="F1073">
        <v>114</v>
      </c>
    </row>
    <row r="1074" spans="1:6" x14ac:dyDescent="0.25">
      <c r="A1074" t="s">
        <v>51</v>
      </c>
      <c r="B1074">
        <v>1</v>
      </c>
      <c r="C1074" t="s">
        <v>14</v>
      </c>
      <c r="D1074" t="s">
        <v>1</v>
      </c>
      <c r="E1074" s="8">
        <v>44748</v>
      </c>
      <c r="F1074">
        <v>203</v>
      </c>
    </row>
    <row r="1075" spans="1:6" x14ac:dyDescent="0.25">
      <c r="A1075" t="s">
        <v>51</v>
      </c>
      <c r="B1075">
        <v>1</v>
      </c>
      <c r="C1075" t="s">
        <v>14</v>
      </c>
      <c r="D1075" t="s">
        <v>1</v>
      </c>
      <c r="E1075" s="8">
        <v>44749</v>
      </c>
      <c r="F1075">
        <v>106</v>
      </c>
    </row>
    <row r="1076" spans="1:6" x14ac:dyDescent="0.25">
      <c r="A1076" t="s">
        <v>51</v>
      </c>
      <c r="B1076">
        <v>1</v>
      </c>
      <c r="C1076" t="s">
        <v>14</v>
      </c>
      <c r="D1076" t="s">
        <v>1</v>
      </c>
      <c r="E1076" s="8">
        <v>44750</v>
      </c>
      <c r="F1076">
        <v>96</v>
      </c>
    </row>
    <row r="1077" spans="1:6" x14ac:dyDescent="0.25">
      <c r="A1077" t="s">
        <v>51</v>
      </c>
      <c r="B1077">
        <v>1</v>
      </c>
      <c r="C1077" t="s">
        <v>14</v>
      </c>
      <c r="D1077" t="s">
        <v>1</v>
      </c>
      <c r="E1077" s="8">
        <v>44771</v>
      </c>
      <c r="F1077">
        <v>18</v>
      </c>
    </row>
    <row r="1078" spans="1:6" x14ac:dyDescent="0.25">
      <c r="A1078" t="s">
        <v>51</v>
      </c>
      <c r="B1078">
        <v>1</v>
      </c>
      <c r="C1078" t="s">
        <v>14</v>
      </c>
      <c r="D1078" t="s">
        <v>1</v>
      </c>
      <c r="E1078" s="8">
        <v>44772</v>
      </c>
      <c r="F1078">
        <v>168</v>
      </c>
    </row>
    <row r="1079" spans="1:6" x14ac:dyDescent="0.25">
      <c r="A1079" t="s">
        <v>51</v>
      </c>
      <c r="B1079">
        <v>1</v>
      </c>
      <c r="C1079" t="s">
        <v>14</v>
      </c>
      <c r="D1079" t="s">
        <v>1</v>
      </c>
      <c r="E1079" s="8">
        <v>44792</v>
      </c>
      <c r="F1079">
        <v>68</v>
      </c>
    </row>
    <row r="1080" spans="1:6" x14ac:dyDescent="0.25">
      <c r="A1080" t="s">
        <v>51</v>
      </c>
      <c r="B1080">
        <v>1</v>
      </c>
      <c r="C1080" t="s">
        <v>14</v>
      </c>
      <c r="D1080" t="s">
        <v>1</v>
      </c>
      <c r="E1080" s="8">
        <v>44793</v>
      </c>
      <c r="F1080">
        <v>3</v>
      </c>
    </row>
    <row r="1081" spans="1:6" x14ac:dyDescent="0.25">
      <c r="A1081" t="s">
        <v>51</v>
      </c>
      <c r="B1081">
        <v>1</v>
      </c>
      <c r="C1081" t="s">
        <v>15</v>
      </c>
      <c r="D1081" t="s">
        <v>1</v>
      </c>
      <c r="E1081" s="8">
        <v>44742</v>
      </c>
      <c r="F1081">
        <v>205</v>
      </c>
    </row>
    <row r="1082" spans="1:6" x14ac:dyDescent="0.25">
      <c r="A1082" t="s">
        <v>51</v>
      </c>
      <c r="B1082">
        <v>1</v>
      </c>
      <c r="C1082" t="s">
        <v>15</v>
      </c>
      <c r="D1082" t="s">
        <v>1</v>
      </c>
      <c r="E1082" s="8">
        <v>44743</v>
      </c>
      <c r="F1082">
        <v>50</v>
      </c>
    </row>
    <row r="1083" spans="1:6" x14ac:dyDescent="0.25">
      <c r="A1083" t="s">
        <v>51</v>
      </c>
      <c r="B1083">
        <v>1</v>
      </c>
      <c r="C1083" t="s">
        <v>15</v>
      </c>
      <c r="D1083" t="s">
        <v>1</v>
      </c>
      <c r="E1083" s="8">
        <v>44751</v>
      </c>
      <c r="F1083">
        <v>148</v>
      </c>
    </row>
    <row r="1084" spans="1:6" x14ac:dyDescent="0.25">
      <c r="A1084" t="s">
        <v>51</v>
      </c>
      <c r="B1084">
        <v>1</v>
      </c>
      <c r="C1084" t="s">
        <v>15</v>
      </c>
      <c r="D1084" t="s">
        <v>1</v>
      </c>
      <c r="E1084" s="8">
        <v>44752</v>
      </c>
      <c r="F1084">
        <v>199</v>
      </c>
    </row>
    <row r="1085" spans="1:6" x14ac:dyDescent="0.25">
      <c r="A1085" t="s">
        <v>51</v>
      </c>
      <c r="B1085">
        <v>1</v>
      </c>
      <c r="C1085" t="s">
        <v>15</v>
      </c>
      <c r="D1085" t="s">
        <v>1</v>
      </c>
      <c r="E1085" s="8">
        <v>44753</v>
      </c>
      <c r="F1085">
        <v>105</v>
      </c>
    </row>
    <row r="1086" spans="1:6" x14ac:dyDescent="0.25">
      <c r="A1086" t="s">
        <v>51</v>
      </c>
      <c r="B1086">
        <v>1</v>
      </c>
      <c r="C1086" t="s">
        <v>15</v>
      </c>
      <c r="D1086" t="s">
        <v>1</v>
      </c>
      <c r="E1086" s="8">
        <v>44754</v>
      </c>
      <c r="F1086">
        <v>69</v>
      </c>
    </row>
    <row r="1087" spans="1:6" x14ac:dyDescent="0.25">
      <c r="A1087" t="s">
        <v>51</v>
      </c>
      <c r="B1087">
        <v>1</v>
      </c>
      <c r="C1087" t="s">
        <v>15</v>
      </c>
      <c r="D1087" t="s">
        <v>1</v>
      </c>
      <c r="E1087" s="8">
        <v>44755</v>
      </c>
      <c r="F1087">
        <v>173</v>
      </c>
    </row>
    <row r="1088" spans="1:6" x14ac:dyDescent="0.25">
      <c r="A1088" t="s">
        <v>51</v>
      </c>
      <c r="B1088">
        <v>1</v>
      </c>
      <c r="C1088" t="s">
        <v>15</v>
      </c>
      <c r="D1088" t="s">
        <v>1</v>
      </c>
      <c r="E1088" s="8">
        <v>44756</v>
      </c>
      <c r="F1088">
        <v>124</v>
      </c>
    </row>
    <row r="1089" spans="1:6" x14ac:dyDescent="0.25">
      <c r="A1089" t="s">
        <v>51</v>
      </c>
      <c r="B1089">
        <v>1</v>
      </c>
      <c r="C1089" t="s">
        <v>15</v>
      </c>
      <c r="D1089" t="s">
        <v>1</v>
      </c>
      <c r="E1089" s="8">
        <v>44757</v>
      </c>
      <c r="F1089">
        <v>155</v>
      </c>
    </row>
    <row r="1090" spans="1:6" x14ac:dyDescent="0.25">
      <c r="A1090" t="s">
        <v>51</v>
      </c>
      <c r="B1090">
        <v>1</v>
      </c>
      <c r="C1090" t="s">
        <v>15</v>
      </c>
      <c r="D1090" t="s">
        <v>1</v>
      </c>
      <c r="E1090" s="8">
        <v>44758</v>
      </c>
      <c r="F1090">
        <v>272</v>
      </c>
    </row>
    <row r="1091" spans="1:6" x14ac:dyDescent="0.25">
      <c r="A1091" t="s">
        <v>51</v>
      </c>
      <c r="B1091">
        <v>1</v>
      </c>
      <c r="C1091" t="s">
        <v>15</v>
      </c>
      <c r="D1091" t="s">
        <v>1</v>
      </c>
      <c r="E1091" s="8">
        <v>44759</v>
      </c>
      <c r="F1091">
        <v>23</v>
      </c>
    </row>
    <row r="1092" spans="1:6" x14ac:dyDescent="0.25">
      <c r="A1092" t="s">
        <v>51</v>
      </c>
      <c r="B1092">
        <v>1</v>
      </c>
      <c r="C1092" t="s">
        <v>15</v>
      </c>
      <c r="D1092" t="s">
        <v>1</v>
      </c>
      <c r="E1092" s="8">
        <v>44760</v>
      </c>
      <c r="F1092">
        <v>113</v>
      </c>
    </row>
    <row r="1093" spans="1:6" x14ac:dyDescent="0.25">
      <c r="A1093" t="s">
        <v>51</v>
      </c>
      <c r="B1093">
        <v>1</v>
      </c>
      <c r="C1093" t="s">
        <v>15</v>
      </c>
      <c r="D1093" t="s">
        <v>1</v>
      </c>
      <c r="E1093" s="8">
        <v>44761</v>
      </c>
      <c r="F1093">
        <v>166</v>
      </c>
    </row>
    <row r="1094" spans="1:6" x14ac:dyDescent="0.25">
      <c r="A1094" t="s">
        <v>51</v>
      </c>
      <c r="B1094">
        <v>1</v>
      </c>
      <c r="C1094" t="s">
        <v>15</v>
      </c>
      <c r="D1094" t="s">
        <v>1</v>
      </c>
      <c r="E1094" s="8">
        <v>44762</v>
      </c>
      <c r="F1094">
        <v>181</v>
      </c>
    </row>
    <row r="1095" spans="1:6" x14ac:dyDescent="0.25">
      <c r="A1095" t="s">
        <v>51</v>
      </c>
      <c r="B1095">
        <v>1</v>
      </c>
      <c r="C1095" t="s">
        <v>15</v>
      </c>
      <c r="D1095" t="s">
        <v>1</v>
      </c>
      <c r="E1095" s="8">
        <v>44763</v>
      </c>
      <c r="F1095">
        <v>209</v>
      </c>
    </row>
    <row r="1096" spans="1:6" x14ac:dyDescent="0.25">
      <c r="A1096" t="s">
        <v>51</v>
      </c>
      <c r="B1096">
        <v>1</v>
      </c>
      <c r="C1096" t="s">
        <v>15</v>
      </c>
      <c r="D1096" t="s">
        <v>1</v>
      </c>
      <c r="E1096" s="8">
        <v>44764</v>
      </c>
      <c r="F1096">
        <v>55</v>
      </c>
    </row>
    <row r="1097" spans="1:6" x14ac:dyDescent="0.25">
      <c r="A1097" t="s">
        <v>51</v>
      </c>
      <c r="B1097">
        <v>1</v>
      </c>
      <c r="C1097" t="s">
        <v>15</v>
      </c>
      <c r="D1097" t="s">
        <v>1</v>
      </c>
      <c r="E1097" s="8">
        <v>44765</v>
      </c>
      <c r="F1097">
        <v>101</v>
      </c>
    </row>
    <row r="1098" spans="1:6" x14ac:dyDescent="0.25">
      <c r="A1098" t="s">
        <v>51</v>
      </c>
      <c r="B1098">
        <v>1</v>
      </c>
      <c r="C1098" t="s">
        <v>15</v>
      </c>
      <c r="D1098" t="s">
        <v>1</v>
      </c>
      <c r="E1098" s="8">
        <v>44766</v>
      </c>
      <c r="F1098">
        <v>104</v>
      </c>
    </row>
    <row r="1099" spans="1:6" x14ac:dyDescent="0.25">
      <c r="A1099" t="s">
        <v>51</v>
      </c>
      <c r="B1099">
        <v>1</v>
      </c>
      <c r="C1099" t="s">
        <v>15</v>
      </c>
      <c r="D1099" t="s">
        <v>1</v>
      </c>
      <c r="E1099" s="8">
        <v>44767</v>
      </c>
      <c r="F1099">
        <v>115</v>
      </c>
    </row>
    <row r="1100" spans="1:6" x14ac:dyDescent="0.25">
      <c r="A1100" t="s">
        <v>51</v>
      </c>
      <c r="B1100">
        <v>1</v>
      </c>
      <c r="C1100" t="s">
        <v>15</v>
      </c>
      <c r="D1100" t="s">
        <v>1</v>
      </c>
      <c r="E1100" s="8">
        <v>44768</v>
      </c>
      <c r="F1100">
        <v>129</v>
      </c>
    </row>
    <row r="1101" spans="1:6" x14ac:dyDescent="0.25">
      <c r="A1101" t="s">
        <v>51</v>
      </c>
      <c r="B1101">
        <v>1</v>
      </c>
      <c r="C1101" t="s">
        <v>15</v>
      </c>
      <c r="D1101" t="s">
        <v>1</v>
      </c>
      <c r="E1101" s="8">
        <v>44769</v>
      </c>
      <c r="F1101">
        <v>165</v>
      </c>
    </row>
    <row r="1102" spans="1:6" x14ac:dyDescent="0.25">
      <c r="A1102" t="s">
        <v>51</v>
      </c>
      <c r="B1102">
        <v>1</v>
      </c>
      <c r="C1102" t="s">
        <v>15</v>
      </c>
      <c r="D1102" t="s">
        <v>1</v>
      </c>
      <c r="E1102" s="8">
        <v>44770</v>
      </c>
      <c r="F1102">
        <v>231</v>
      </c>
    </row>
    <row r="1103" spans="1:6" x14ac:dyDescent="0.25">
      <c r="A1103" t="s">
        <v>51</v>
      </c>
      <c r="B1103">
        <v>1</v>
      </c>
      <c r="C1103" t="s">
        <v>16</v>
      </c>
      <c r="D1103" t="s">
        <v>1</v>
      </c>
      <c r="E1103" s="8">
        <v>44733</v>
      </c>
      <c r="F1103">
        <v>213</v>
      </c>
    </row>
    <row r="1104" spans="1:6" x14ac:dyDescent="0.25">
      <c r="A1104" t="s">
        <v>51</v>
      </c>
      <c r="B1104">
        <v>1</v>
      </c>
      <c r="C1104" t="s">
        <v>16</v>
      </c>
      <c r="D1104" t="s">
        <v>1</v>
      </c>
      <c r="E1104" s="8">
        <v>44734</v>
      </c>
      <c r="F1104">
        <v>137</v>
      </c>
    </row>
    <row r="1105" spans="1:6" x14ac:dyDescent="0.25">
      <c r="A1105" t="s">
        <v>51</v>
      </c>
      <c r="B1105">
        <v>1</v>
      </c>
      <c r="C1105" t="s">
        <v>16</v>
      </c>
      <c r="D1105" t="s">
        <v>1</v>
      </c>
      <c r="E1105" s="8">
        <v>44735</v>
      </c>
      <c r="F1105">
        <v>107</v>
      </c>
    </row>
    <row r="1106" spans="1:6" x14ac:dyDescent="0.25">
      <c r="A1106" t="s">
        <v>51</v>
      </c>
      <c r="B1106">
        <v>1</v>
      </c>
      <c r="C1106" t="s">
        <v>16</v>
      </c>
      <c r="D1106" t="s">
        <v>1</v>
      </c>
      <c r="E1106" s="8">
        <v>44736</v>
      </c>
      <c r="F1106">
        <v>195</v>
      </c>
    </row>
    <row r="1107" spans="1:6" x14ac:dyDescent="0.25">
      <c r="A1107" t="s">
        <v>51</v>
      </c>
      <c r="B1107">
        <v>1</v>
      </c>
      <c r="C1107" t="s">
        <v>16</v>
      </c>
      <c r="D1107" t="s">
        <v>1</v>
      </c>
      <c r="E1107" s="8">
        <v>44737</v>
      </c>
      <c r="F1107">
        <v>102</v>
      </c>
    </row>
    <row r="1108" spans="1:6" x14ac:dyDescent="0.25">
      <c r="A1108" t="s">
        <v>51</v>
      </c>
      <c r="B1108">
        <v>1</v>
      </c>
      <c r="C1108" t="s">
        <v>16</v>
      </c>
      <c r="D1108" t="s">
        <v>1</v>
      </c>
      <c r="E1108" s="8">
        <v>44738</v>
      </c>
      <c r="F1108">
        <v>26</v>
      </c>
    </row>
    <row r="1109" spans="1:6" x14ac:dyDescent="0.25">
      <c r="A1109" t="s">
        <v>51</v>
      </c>
      <c r="B1109">
        <v>1</v>
      </c>
      <c r="C1109" t="s">
        <v>16</v>
      </c>
      <c r="D1109" t="s">
        <v>1</v>
      </c>
      <c r="E1109" s="8">
        <v>44739</v>
      </c>
      <c r="F1109">
        <v>159</v>
      </c>
    </row>
    <row r="1110" spans="1:6" x14ac:dyDescent="0.25">
      <c r="A1110" t="s">
        <v>51</v>
      </c>
      <c r="B1110">
        <v>1</v>
      </c>
      <c r="C1110" t="s">
        <v>16</v>
      </c>
      <c r="D1110" t="s">
        <v>1</v>
      </c>
      <c r="E1110" s="8">
        <v>44740</v>
      </c>
      <c r="F1110">
        <v>44</v>
      </c>
    </row>
    <row r="1111" spans="1:6" x14ac:dyDescent="0.25">
      <c r="A1111" t="s">
        <v>51</v>
      </c>
      <c r="B1111">
        <v>1</v>
      </c>
      <c r="C1111" t="s">
        <v>16</v>
      </c>
      <c r="D1111" t="s">
        <v>1</v>
      </c>
      <c r="E1111" s="8">
        <v>44793</v>
      </c>
      <c r="F1111">
        <v>83</v>
      </c>
    </row>
    <row r="1112" spans="1:6" x14ac:dyDescent="0.25">
      <c r="A1112" t="s">
        <v>51</v>
      </c>
      <c r="B1112">
        <v>1</v>
      </c>
      <c r="C1112" t="s">
        <v>16</v>
      </c>
      <c r="D1112" t="s">
        <v>1</v>
      </c>
      <c r="E1112" s="8">
        <v>44795</v>
      </c>
      <c r="F1112">
        <v>129</v>
      </c>
    </row>
    <row r="1113" spans="1:6" x14ac:dyDescent="0.25">
      <c r="A1113" t="s">
        <v>51</v>
      </c>
      <c r="B1113">
        <v>1</v>
      </c>
      <c r="C1113" t="s">
        <v>16</v>
      </c>
      <c r="D1113" t="s">
        <v>1</v>
      </c>
      <c r="E1113" s="8">
        <v>44796</v>
      </c>
      <c r="F1113">
        <v>159</v>
      </c>
    </row>
    <row r="1114" spans="1:6" x14ac:dyDescent="0.25">
      <c r="A1114" t="s">
        <v>51</v>
      </c>
      <c r="B1114">
        <v>1</v>
      </c>
      <c r="C1114" t="s">
        <v>16</v>
      </c>
      <c r="D1114" t="s">
        <v>1</v>
      </c>
      <c r="E1114" s="8">
        <v>44797</v>
      </c>
      <c r="F1114">
        <v>152</v>
      </c>
    </row>
    <row r="1115" spans="1:6" x14ac:dyDescent="0.25">
      <c r="A1115" t="s">
        <v>51</v>
      </c>
      <c r="B1115">
        <v>1</v>
      </c>
      <c r="C1115" t="s">
        <v>16</v>
      </c>
      <c r="D1115" t="s">
        <v>1</v>
      </c>
      <c r="E1115" s="8">
        <v>44798</v>
      </c>
      <c r="F1115">
        <v>158</v>
      </c>
    </row>
    <row r="1116" spans="1:6" x14ac:dyDescent="0.25">
      <c r="A1116" t="s">
        <v>51</v>
      </c>
      <c r="B1116">
        <v>1</v>
      </c>
      <c r="C1116" t="s">
        <v>16</v>
      </c>
      <c r="D1116" t="s">
        <v>1</v>
      </c>
      <c r="E1116" s="8">
        <v>44799</v>
      </c>
      <c r="F1116">
        <v>35</v>
      </c>
    </row>
    <row r="1117" spans="1:6" x14ac:dyDescent="0.25">
      <c r="A1117" t="s">
        <v>51</v>
      </c>
      <c r="B1117">
        <v>1</v>
      </c>
      <c r="C1117" t="s">
        <v>16</v>
      </c>
      <c r="D1117" t="s">
        <v>1</v>
      </c>
      <c r="E1117" s="8">
        <v>44810</v>
      </c>
      <c r="F1117">
        <v>149</v>
      </c>
    </row>
    <row r="1118" spans="1:6" x14ac:dyDescent="0.25">
      <c r="A1118" t="s">
        <v>51</v>
      </c>
      <c r="B1118">
        <v>1</v>
      </c>
      <c r="C1118" t="s">
        <v>16</v>
      </c>
      <c r="D1118" t="s">
        <v>1</v>
      </c>
      <c r="E1118" s="8">
        <v>44811</v>
      </c>
      <c r="F1118">
        <v>100</v>
      </c>
    </row>
    <row r="1119" spans="1:6" x14ac:dyDescent="0.25">
      <c r="A1119" t="s">
        <v>51</v>
      </c>
      <c r="B1119">
        <v>1</v>
      </c>
      <c r="C1119" t="s">
        <v>16</v>
      </c>
      <c r="D1119" t="s">
        <v>1</v>
      </c>
      <c r="E1119" s="8">
        <v>44812</v>
      </c>
      <c r="F1119">
        <v>145</v>
      </c>
    </row>
    <row r="1120" spans="1:6" x14ac:dyDescent="0.25">
      <c r="A1120" t="s">
        <v>51</v>
      </c>
      <c r="B1120">
        <v>1</v>
      </c>
      <c r="C1120" t="s">
        <v>16</v>
      </c>
      <c r="D1120" t="s">
        <v>1</v>
      </c>
      <c r="E1120" s="8">
        <v>44813</v>
      </c>
      <c r="F1120">
        <v>75</v>
      </c>
    </row>
    <row r="1121" spans="1:6" x14ac:dyDescent="0.25">
      <c r="A1121" t="s">
        <v>51</v>
      </c>
      <c r="B1121">
        <v>1</v>
      </c>
      <c r="C1121" t="s">
        <v>16</v>
      </c>
      <c r="D1121" t="s">
        <v>1</v>
      </c>
      <c r="E1121" s="8">
        <v>44814</v>
      </c>
      <c r="F1121">
        <v>225</v>
      </c>
    </row>
    <row r="1122" spans="1:6" x14ac:dyDescent="0.25">
      <c r="A1122" t="s">
        <v>51</v>
      </c>
      <c r="B1122">
        <v>1</v>
      </c>
      <c r="C1122" t="s">
        <v>16</v>
      </c>
      <c r="D1122" t="s">
        <v>1</v>
      </c>
      <c r="E1122" s="8">
        <v>44815</v>
      </c>
      <c r="F1122">
        <v>296</v>
      </c>
    </row>
    <row r="1123" spans="1:6" x14ac:dyDescent="0.25">
      <c r="A1123" t="s">
        <v>51</v>
      </c>
      <c r="B1123">
        <v>1</v>
      </c>
      <c r="C1123" t="s">
        <v>16</v>
      </c>
      <c r="D1123" t="s">
        <v>1</v>
      </c>
      <c r="E1123" s="8">
        <v>44816</v>
      </c>
      <c r="F1123">
        <v>167</v>
      </c>
    </row>
    <row r="1124" spans="1:6" x14ac:dyDescent="0.25">
      <c r="A1124" t="s">
        <v>51</v>
      </c>
      <c r="B1124">
        <v>1</v>
      </c>
      <c r="C1124" t="s">
        <v>16</v>
      </c>
      <c r="D1124" t="s">
        <v>1</v>
      </c>
      <c r="E1124" s="8">
        <v>44817</v>
      </c>
      <c r="F1124">
        <v>269</v>
      </c>
    </row>
    <row r="1125" spans="1:6" x14ac:dyDescent="0.25">
      <c r="A1125" t="s">
        <v>51</v>
      </c>
      <c r="B1125">
        <v>1</v>
      </c>
      <c r="C1125" t="s">
        <v>16</v>
      </c>
      <c r="D1125" t="s">
        <v>1</v>
      </c>
      <c r="E1125" s="8">
        <v>44818</v>
      </c>
      <c r="F1125">
        <v>201</v>
      </c>
    </row>
    <row r="1126" spans="1:6" x14ac:dyDescent="0.25">
      <c r="A1126" t="s">
        <v>51</v>
      </c>
      <c r="B1126">
        <v>1</v>
      </c>
      <c r="C1126" t="s">
        <v>16</v>
      </c>
      <c r="D1126" t="s">
        <v>1</v>
      </c>
      <c r="E1126" s="8">
        <v>44819</v>
      </c>
      <c r="F1126">
        <v>8</v>
      </c>
    </row>
    <row r="1127" spans="1:6" x14ac:dyDescent="0.25">
      <c r="A1127" t="s">
        <v>51</v>
      </c>
      <c r="B1127">
        <v>1</v>
      </c>
      <c r="C1127" t="s">
        <v>16</v>
      </c>
      <c r="D1127" t="s">
        <v>1</v>
      </c>
      <c r="E1127" s="8">
        <v>44820</v>
      </c>
      <c r="F1127">
        <v>98</v>
      </c>
    </row>
    <row r="1128" spans="1:6" x14ac:dyDescent="0.25">
      <c r="A1128" t="s">
        <v>51</v>
      </c>
      <c r="B1128">
        <v>1</v>
      </c>
      <c r="C1128" t="s">
        <v>16</v>
      </c>
      <c r="D1128" t="s">
        <v>1</v>
      </c>
      <c r="E1128" s="8">
        <v>44821</v>
      </c>
      <c r="F1128">
        <v>252</v>
      </c>
    </row>
    <row r="1129" spans="1:6" x14ac:dyDescent="0.25">
      <c r="A1129" t="s">
        <v>51</v>
      </c>
      <c r="B1129">
        <v>1</v>
      </c>
      <c r="C1129" t="s">
        <v>17</v>
      </c>
      <c r="D1129" t="s">
        <v>0</v>
      </c>
      <c r="E1129" s="8">
        <v>44737</v>
      </c>
      <c r="F1129">
        <v>182</v>
      </c>
    </row>
    <row r="1130" spans="1:6" x14ac:dyDescent="0.25">
      <c r="A1130" t="s">
        <v>51</v>
      </c>
      <c r="B1130">
        <v>1</v>
      </c>
      <c r="C1130" t="s">
        <v>17</v>
      </c>
      <c r="D1130" t="s">
        <v>0</v>
      </c>
      <c r="E1130" s="8">
        <v>44738</v>
      </c>
      <c r="F1130">
        <v>159</v>
      </c>
    </row>
    <row r="1131" spans="1:6" x14ac:dyDescent="0.25">
      <c r="A1131" t="s">
        <v>51</v>
      </c>
      <c r="B1131">
        <v>1</v>
      </c>
      <c r="C1131" t="s">
        <v>17</v>
      </c>
      <c r="D1131" t="s">
        <v>0</v>
      </c>
      <c r="E1131" s="8">
        <v>44739</v>
      </c>
      <c r="F1131">
        <v>177</v>
      </c>
    </row>
    <row r="1132" spans="1:6" x14ac:dyDescent="0.25">
      <c r="A1132" t="s">
        <v>51</v>
      </c>
      <c r="B1132">
        <v>1</v>
      </c>
      <c r="C1132" t="s">
        <v>17</v>
      </c>
      <c r="D1132" t="s">
        <v>0</v>
      </c>
      <c r="E1132" s="8">
        <v>44740</v>
      </c>
      <c r="F1132">
        <v>129</v>
      </c>
    </row>
    <row r="1133" spans="1:6" x14ac:dyDescent="0.25">
      <c r="A1133" t="s">
        <v>51</v>
      </c>
      <c r="B1133">
        <v>1</v>
      </c>
      <c r="C1133" t="s">
        <v>17</v>
      </c>
      <c r="D1133" t="s">
        <v>0</v>
      </c>
      <c r="E1133" s="8">
        <v>44741</v>
      </c>
      <c r="F1133">
        <v>175</v>
      </c>
    </row>
    <row r="1134" spans="1:6" x14ac:dyDescent="0.25">
      <c r="A1134" t="s">
        <v>51</v>
      </c>
      <c r="B1134">
        <v>1</v>
      </c>
      <c r="C1134" t="s">
        <v>17</v>
      </c>
      <c r="D1134" t="s">
        <v>0</v>
      </c>
      <c r="E1134" s="8">
        <v>44742</v>
      </c>
      <c r="F1134">
        <v>126</v>
      </c>
    </row>
    <row r="1135" spans="1:6" x14ac:dyDescent="0.25">
      <c r="A1135" t="s">
        <v>51</v>
      </c>
      <c r="B1135">
        <v>1</v>
      </c>
      <c r="C1135" t="s">
        <v>17</v>
      </c>
      <c r="D1135" t="s">
        <v>1</v>
      </c>
      <c r="E1135" s="8">
        <v>44739</v>
      </c>
      <c r="F1135">
        <v>98</v>
      </c>
    </row>
    <row r="1136" spans="1:6" x14ac:dyDescent="0.25">
      <c r="A1136" t="s">
        <v>51</v>
      </c>
      <c r="B1136">
        <v>1</v>
      </c>
      <c r="C1136" t="s">
        <v>17</v>
      </c>
      <c r="D1136" t="s">
        <v>1</v>
      </c>
      <c r="E1136" s="8">
        <v>44740</v>
      </c>
      <c r="F1136">
        <v>95</v>
      </c>
    </row>
    <row r="1137" spans="1:6" x14ac:dyDescent="0.25">
      <c r="A1137" t="s">
        <v>51</v>
      </c>
      <c r="B1137">
        <v>1</v>
      </c>
      <c r="C1137" t="s">
        <v>17</v>
      </c>
      <c r="D1137" t="s">
        <v>1</v>
      </c>
      <c r="E1137" s="8">
        <v>44742</v>
      </c>
      <c r="F1137">
        <v>12</v>
      </c>
    </row>
    <row r="1138" spans="1:6" x14ac:dyDescent="0.25">
      <c r="A1138" t="s">
        <v>51</v>
      </c>
      <c r="B1138">
        <v>1</v>
      </c>
      <c r="C1138" t="s">
        <v>17</v>
      </c>
      <c r="D1138" t="s">
        <v>1</v>
      </c>
      <c r="E1138" s="8">
        <v>44799</v>
      </c>
      <c r="F1138">
        <v>186</v>
      </c>
    </row>
    <row r="1139" spans="1:6" x14ac:dyDescent="0.25">
      <c r="A1139" t="s">
        <v>51</v>
      </c>
      <c r="B1139">
        <v>1</v>
      </c>
      <c r="C1139" t="s">
        <v>17</v>
      </c>
      <c r="D1139" t="s">
        <v>1</v>
      </c>
      <c r="E1139" s="8">
        <v>44800</v>
      </c>
      <c r="F1139">
        <v>105</v>
      </c>
    </row>
    <row r="1140" spans="1:6" x14ac:dyDescent="0.25">
      <c r="A1140" t="s">
        <v>51</v>
      </c>
      <c r="B1140">
        <v>1</v>
      </c>
      <c r="C1140" t="s">
        <v>17</v>
      </c>
      <c r="D1140" t="s">
        <v>1</v>
      </c>
      <c r="E1140" s="8">
        <v>44801</v>
      </c>
      <c r="F1140">
        <v>202</v>
      </c>
    </row>
    <row r="1141" spans="1:6" x14ac:dyDescent="0.25">
      <c r="A1141" t="s">
        <v>51</v>
      </c>
      <c r="B1141">
        <v>1</v>
      </c>
      <c r="C1141" t="s">
        <v>17</v>
      </c>
      <c r="D1141" t="s">
        <v>1</v>
      </c>
      <c r="E1141" s="8">
        <v>44802</v>
      </c>
      <c r="F1141">
        <v>44</v>
      </c>
    </row>
    <row r="1142" spans="1:6" x14ac:dyDescent="0.25">
      <c r="A1142" t="s">
        <v>51</v>
      </c>
      <c r="B1142">
        <v>1</v>
      </c>
      <c r="C1142" t="s">
        <v>17</v>
      </c>
      <c r="D1142" t="s">
        <v>1</v>
      </c>
      <c r="E1142" s="8">
        <v>44803</v>
      </c>
      <c r="F1142">
        <v>92</v>
      </c>
    </row>
    <row r="1143" spans="1:6" x14ac:dyDescent="0.25">
      <c r="A1143" t="s">
        <v>51</v>
      </c>
      <c r="B1143">
        <v>1</v>
      </c>
      <c r="C1143" t="s">
        <v>17</v>
      </c>
      <c r="D1143" t="s">
        <v>1</v>
      </c>
      <c r="E1143" s="8">
        <v>44804</v>
      </c>
      <c r="F1143">
        <v>156</v>
      </c>
    </row>
    <row r="1144" spans="1:6" x14ac:dyDescent="0.25">
      <c r="A1144" t="s">
        <v>51</v>
      </c>
      <c r="B1144">
        <v>1</v>
      </c>
      <c r="C1144" t="s">
        <v>17</v>
      </c>
      <c r="D1144" t="s">
        <v>1</v>
      </c>
      <c r="E1144" s="8">
        <v>44805</v>
      </c>
      <c r="F1144">
        <v>102</v>
      </c>
    </row>
    <row r="1145" spans="1:6" x14ac:dyDescent="0.25">
      <c r="A1145" t="s">
        <v>51</v>
      </c>
      <c r="B1145">
        <v>1</v>
      </c>
      <c r="C1145" t="s">
        <v>17</v>
      </c>
      <c r="D1145" t="s">
        <v>1</v>
      </c>
      <c r="E1145" s="8">
        <v>44806</v>
      </c>
      <c r="F1145">
        <v>132</v>
      </c>
    </row>
    <row r="1146" spans="1:6" x14ac:dyDescent="0.25">
      <c r="A1146" t="s">
        <v>51</v>
      </c>
      <c r="B1146">
        <v>1</v>
      </c>
      <c r="C1146" t="s">
        <v>17</v>
      </c>
      <c r="D1146" t="s">
        <v>1</v>
      </c>
      <c r="E1146" s="8">
        <v>44807</v>
      </c>
      <c r="F1146">
        <v>94</v>
      </c>
    </row>
    <row r="1147" spans="1:6" x14ac:dyDescent="0.25">
      <c r="A1147" t="s">
        <v>51</v>
      </c>
      <c r="B1147">
        <v>1</v>
      </c>
      <c r="C1147" t="s">
        <v>17</v>
      </c>
      <c r="D1147" t="s">
        <v>1</v>
      </c>
      <c r="E1147" s="8">
        <v>44808</v>
      </c>
      <c r="F1147">
        <v>143</v>
      </c>
    </row>
    <row r="1148" spans="1:6" x14ac:dyDescent="0.25">
      <c r="A1148" t="s">
        <v>51</v>
      </c>
      <c r="B1148">
        <v>1</v>
      </c>
      <c r="C1148" t="s">
        <v>18</v>
      </c>
      <c r="D1148" t="s">
        <v>0</v>
      </c>
      <c r="E1148" s="8">
        <v>44791</v>
      </c>
      <c r="F1148">
        <v>143</v>
      </c>
    </row>
    <row r="1149" spans="1:6" x14ac:dyDescent="0.25">
      <c r="A1149" t="s">
        <v>51</v>
      </c>
      <c r="B1149">
        <v>1</v>
      </c>
      <c r="C1149" t="s">
        <v>18</v>
      </c>
      <c r="D1149" t="s">
        <v>0</v>
      </c>
      <c r="E1149" s="8">
        <v>44793</v>
      </c>
      <c r="F1149">
        <v>131</v>
      </c>
    </row>
    <row r="1150" spans="1:6" x14ac:dyDescent="0.25">
      <c r="A1150" t="s">
        <v>51</v>
      </c>
      <c r="B1150">
        <v>1</v>
      </c>
      <c r="C1150" t="s">
        <v>18</v>
      </c>
      <c r="D1150" t="s">
        <v>0</v>
      </c>
      <c r="E1150" s="8">
        <v>44801</v>
      </c>
      <c r="F1150">
        <v>208</v>
      </c>
    </row>
    <row r="1151" spans="1:6" x14ac:dyDescent="0.25">
      <c r="A1151" t="s">
        <v>51</v>
      </c>
      <c r="B1151">
        <v>1</v>
      </c>
      <c r="C1151" t="s">
        <v>18</v>
      </c>
      <c r="D1151" t="s">
        <v>0</v>
      </c>
      <c r="E1151" s="8">
        <v>44802</v>
      </c>
      <c r="F1151">
        <v>156</v>
      </c>
    </row>
    <row r="1152" spans="1:6" x14ac:dyDescent="0.25">
      <c r="A1152" t="s">
        <v>51</v>
      </c>
      <c r="B1152">
        <v>1</v>
      </c>
      <c r="C1152" t="s">
        <v>18</v>
      </c>
      <c r="D1152" t="s">
        <v>0</v>
      </c>
      <c r="E1152" s="8">
        <v>44803</v>
      </c>
      <c r="F1152">
        <v>138</v>
      </c>
    </row>
    <row r="1153" spans="1:6" x14ac:dyDescent="0.25">
      <c r="A1153" t="s">
        <v>51</v>
      </c>
      <c r="B1153">
        <v>1</v>
      </c>
      <c r="C1153" t="s">
        <v>18</v>
      </c>
      <c r="D1153" t="s">
        <v>0</v>
      </c>
      <c r="E1153" s="8">
        <v>44804</v>
      </c>
      <c r="F1153">
        <v>81</v>
      </c>
    </row>
    <row r="1154" spans="1:6" x14ac:dyDescent="0.25">
      <c r="A1154" t="s">
        <v>51</v>
      </c>
      <c r="B1154">
        <v>1</v>
      </c>
      <c r="C1154" t="s">
        <v>18</v>
      </c>
      <c r="D1154" t="s">
        <v>0</v>
      </c>
      <c r="E1154" s="8">
        <v>44805</v>
      </c>
      <c r="F1154">
        <v>219</v>
      </c>
    </row>
    <row r="1155" spans="1:6" x14ac:dyDescent="0.25">
      <c r="A1155" t="s">
        <v>51</v>
      </c>
      <c r="B1155">
        <v>1</v>
      </c>
      <c r="C1155" t="s">
        <v>18</v>
      </c>
      <c r="D1155" t="s">
        <v>0</v>
      </c>
      <c r="E1155" s="8">
        <v>44806</v>
      </c>
      <c r="F1155">
        <v>259</v>
      </c>
    </row>
    <row r="1156" spans="1:6" x14ac:dyDescent="0.25">
      <c r="A1156" t="s">
        <v>51</v>
      </c>
      <c r="B1156">
        <v>1</v>
      </c>
      <c r="C1156" t="s">
        <v>18</v>
      </c>
      <c r="D1156" t="s">
        <v>0</v>
      </c>
      <c r="E1156" s="8">
        <v>44807</v>
      </c>
      <c r="F1156">
        <v>123</v>
      </c>
    </row>
    <row r="1157" spans="1:6" x14ac:dyDescent="0.25">
      <c r="A1157" t="s">
        <v>51</v>
      </c>
      <c r="B1157">
        <v>1</v>
      </c>
      <c r="C1157" t="s">
        <v>18</v>
      </c>
      <c r="D1157" t="s">
        <v>0</v>
      </c>
      <c r="E1157" s="8">
        <v>44808</v>
      </c>
      <c r="F1157">
        <v>278</v>
      </c>
    </row>
    <row r="1158" spans="1:6" x14ac:dyDescent="0.25">
      <c r="A1158" t="s">
        <v>51</v>
      </c>
      <c r="B1158">
        <v>1</v>
      </c>
      <c r="C1158" t="s">
        <v>18</v>
      </c>
      <c r="D1158" t="s">
        <v>0</v>
      </c>
      <c r="E1158" s="8">
        <v>44809</v>
      </c>
      <c r="F1158">
        <v>200</v>
      </c>
    </row>
    <row r="1159" spans="1:6" x14ac:dyDescent="0.25">
      <c r="A1159" t="s">
        <v>51</v>
      </c>
      <c r="B1159">
        <v>1</v>
      </c>
      <c r="C1159" t="s">
        <v>18</v>
      </c>
      <c r="D1159" t="s">
        <v>0</v>
      </c>
      <c r="E1159" s="8">
        <v>44810</v>
      </c>
      <c r="F1159">
        <v>66</v>
      </c>
    </row>
    <row r="1160" spans="1:6" x14ac:dyDescent="0.25">
      <c r="A1160" t="s">
        <v>51</v>
      </c>
      <c r="B1160">
        <v>1</v>
      </c>
      <c r="C1160" t="s">
        <v>19</v>
      </c>
      <c r="D1160" t="s">
        <v>0</v>
      </c>
      <c r="E1160" s="8">
        <v>44778</v>
      </c>
      <c r="F1160">
        <v>101</v>
      </c>
    </row>
    <row r="1161" spans="1:6" x14ac:dyDescent="0.25">
      <c r="A1161" t="s">
        <v>51</v>
      </c>
      <c r="B1161">
        <v>1</v>
      </c>
      <c r="C1161" t="s">
        <v>19</v>
      </c>
      <c r="D1161" t="s">
        <v>0</v>
      </c>
      <c r="E1161" s="8">
        <v>44779</v>
      </c>
      <c r="F1161">
        <v>136</v>
      </c>
    </row>
    <row r="1162" spans="1:6" x14ac:dyDescent="0.25">
      <c r="A1162" t="s">
        <v>51</v>
      </c>
      <c r="B1162">
        <v>1</v>
      </c>
      <c r="C1162" t="s">
        <v>19</v>
      </c>
      <c r="D1162" t="s">
        <v>0</v>
      </c>
      <c r="E1162" s="8">
        <v>44780</v>
      </c>
      <c r="F1162">
        <v>110</v>
      </c>
    </row>
    <row r="1163" spans="1:6" x14ac:dyDescent="0.25">
      <c r="A1163" t="s">
        <v>51</v>
      </c>
      <c r="B1163">
        <v>1</v>
      </c>
      <c r="C1163" t="s">
        <v>19</v>
      </c>
      <c r="D1163" t="s">
        <v>0</v>
      </c>
      <c r="E1163" s="8">
        <v>44781</v>
      </c>
      <c r="F1163">
        <v>234</v>
      </c>
    </row>
    <row r="1164" spans="1:6" x14ac:dyDescent="0.25">
      <c r="A1164" t="s">
        <v>51</v>
      </c>
      <c r="B1164">
        <v>1</v>
      </c>
      <c r="C1164" t="s">
        <v>19</v>
      </c>
      <c r="D1164" t="s">
        <v>0</v>
      </c>
      <c r="E1164" s="8">
        <v>44782</v>
      </c>
      <c r="F1164">
        <v>189</v>
      </c>
    </row>
    <row r="1165" spans="1:6" x14ac:dyDescent="0.25">
      <c r="A1165" t="s">
        <v>51</v>
      </c>
      <c r="B1165">
        <v>1</v>
      </c>
      <c r="C1165" t="s">
        <v>19</v>
      </c>
      <c r="D1165" t="s">
        <v>0</v>
      </c>
      <c r="E1165" s="8">
        <v>44783</v>
      </c>
      <c r="F1165">
        <v>100</v>
      </c>
    </row>
    <row r="1166" spans="1:6" x14ac:dyDescent="0.25">
      <c r="A1166" t="s">
        <v>51</v>
      </c>
      <c r="B1166">
        <v>1</v>
      </c>
      <c r="C1166" t="s">
        <v>19</v>
      </c>
      <c r="D1166" t="s">
        <v>0</v>
      </c>
      <c r="E1166" s="8">
        <v>44784</v>
      </c>
      <c r="F1166">
        <v>121</v>
      </c>
    </row>
    <row r="1167" spans="1:6" x14ac:dyDescent="0.25">
      <c r="A1167" t="s">
        <v>51</v>
      </c>
      <c r="B1167">
        <v>1</v>
      </c>
      <c r="C1167" t="s">
        <v>19</v>
      </c>
      <c r="D1167" t="s">
        <v>0</v>
      </c>
      <c r="E1167" s="8">
        <v>44785</v>
      </c>
      <c r="F1167">
        <v>197</v>
      </c>
    </row>
    <row r="1168" spans="1:6" x14ac:dyDescent="0.25">
      <c r="A1168" t="s">
        <v>51</v>
      </c>
      <c r="B1168">
        <v>1</v>
      </c>
      <c r="C1168" t="s">
        <v>20</v>
      </c>
      <c r="D1168" t="s">
        <v>0</v>
      </c>
      <c r="E1168" s="8">
        <v>44725</v>
      </c>
      <c r="F1168">
        <v>45</v>
      </c>
    </row>
    <row r="1169" spans="1:6" x14ac:dyDescent="0.25">
      <c r="A1169" t="s">
        <v>51</v>
      </c>
      <c r="B1169">
        <v>1</v>
      </c>
      <c r="C1169" t="s">
        <v>20</v>
      </c>
      <c r="D1169" t="s">
        <v>0</v>
      </c>
      <c r="E1169" s="8">
        <v>44726</v>
      </c>
      <c r="F1169">
        <v>139</v>
      </c>
    </row>
    <row r="1170" spans="1:6" x14ac:dyDescent="0.25">
      <c r="A1170" t="s">
        <v>51</v>
      </c>
      <c r="B1170">
        <v>1</v>
      </c>
      <c r="C1170" t="s">
        <v>20</v>
      </c>
      <c r="D1170" t="s">
        <v>0</v>
      </c>
      <c r="E1170" s="8">
        <v>44727</v>
      </c>
      <c r="F1170">
        <v>207</v>
      </c>
    </row>
    <row r="1171" spans="1:6" x14ac:dyDescent="0.25">
      <c r="A1171" t="s">
        <v>51</v>
      </c>
      <c r="B1171">
        <v>1</v>
      </c>
      <c r="C1171" t="s">
        <v>20</v>
      </c>
      <c r="D1171" t="s">
        <v>0</v>
      </c>
      <c r="E1171" s="8">
        <v>44728</v>
      </c>
      <c r="F1171">
        <v>123</v>
      </c>
    </row>
    <row r="1172" spans="1:6" x14ac:dyDescent="0.25">
      <c r="A1172" t="s">
        <v>51</v>
      </c>
      <c r="B1172">
        <v>1</v>
      </c>
      <c r="C1172" t="s">
        <v>20</v>
      </c>
      <c r="D1172" t="s">
        <v>0</v>
      </c>
      <c r="E1172" s="8">
        <v>44729</v>
      </c>
      <c r="F1172">
        <v>141</v>
      </c>
    </row>
    <row r="1173" spans="1:6" x14ac:dyDescent="0.25">
      <c r="A1173" t="s">
        <v>51</v>
      </c>
      <c r="B1173">
        <v>1</v>
      </c>
      <c r="C1173" t="s">
        <v>20</v>
      </c>
      <c r="D1173" t="s">
        <v>0</v>
      </c>
      <c r="E1173" s="8">
        <v>44730</v>
      </c>
      <c r="F1173">
        <v>141</v>
      </c>
    </row>
    <row r="1174" spans="1:6" x14ac:dyDescent="0.25">
      <c r="A1174" t="s">
        <v>51</v>
      </c>
      <c r="B1174">
        <v>1</v>
      </c>
      <c r="C1174" t="s">
        <v>20</v>
      </c>
      <c r="D1174" t="s">
        <v>0</v>
      </c>
      <c r="E1174" s="8">
        <v>44731</v>
      </c>
      <c r="F1174">
        <v>54</v>
      </c>
    </row>
    <row r="1175" spans="1:6" x14ac:dyDescent="0.25">
      <c r="A1175" t="s">
        <v>51</v>
      </c>
      <c r="B1175">
        <v>1</v>
      </c>
      <c r="C1175" t="s">
        <v>20</v>
      </c>
      <c r="D1175" t="s">
        <v>0</v>
      </c>
      <c r="E1175" s="8">
        <v>44732</v>
      </c>
      <c r="F1175">
        <v>103</v>
      </c>
    </row>
    <row r="1176" spans="1:6" x14ac:dyDescent="0.25">
      <c r="A1176" t="s">
        <v>51</v>
      </c>
      <c r="B1176">
        <v>1</v>
      </c>
      <c r="C1176" t="s">
        <v>20</v>
      </c>
      <c r="D1176" t="s">
        <v>0</v>
      </c>
      <c r="E1176" s="8">
        <v>44733</v>
      </c>
      <c r="F1176">
        <v>178</v>
      </c>
    </row>
    <row r="1177" spans="1:6" x14ac:dyDescent="0.25">
      <c r="A1177" t="s">
        <v>51</v>
      </c>
      <c r="B1177">
        <v>1</v>
      </c>
      <c r="C1177" t="s">
        <v>20</v>
      </c>
      <c r="D1177" t="s">
        <v>0</v>
      </c>
      <c r="E1177" s="8">
        <v>44734</v>
      </c>
      <c r="F1177">
        <v>144</v>
      </c>
    </row>
    <row r="1178" spans="1:6" x14ac:dyDescent="0.25">
      <c r="A1178" t="s">
        <v>51</v>
      </c>
      <c r="B1178">
        <v>1</v>
      </c>
      <c r="C1178" t="s">
        <v>20</v>
      </c>
      <c r="D1178" t="s">
        <v>0</v>
      </c>
      <c r="E1178" s="8">
        <v>44735</v>
      </c>
      <c r="F1178">
        <v>212</v>
      </c>
    </row>
    <row r="1179" spans="1:6" x14ac:dyDescent="0.25">
      <c r="A1179" t="s">
        <v>51</v>
      </c>
      <c r="B1179">
        <v>1</v>
      </c>
      <c r="C1179" t="s">
        <v>20</v>
      </c>
      <c r="D1179" t="s">
        <v>0</v>
      </c>
      <c r="E1179" s="8">
        <v>44736</v>
      </c>
      <c r="F1179">
        <v>181</v>
      </c>
    </row>
    <row r="1180" spans="1:6" x14ac:dyDescent="0.25">
      <c r="A1180" t="s">
        <v>51</v>
      </c>
      <c r="B1180">
        <v>2</v>
      </c>
      <c r="C1180" t="s">
        <v>22</v>
      </c>
      <c r="D1180" t="s">
        <v>2</v>
      </c>
      <c r="E1180" s="8">
        <v>44828</v>
      </c>
      <c r="F1180">
        <v>126</v>
      </c>
    </row>
    <row r="1181" spans="1:6" x14ac:dyDescent="0.25">
      <c r="A1181" t="s">
        <v>51</v>
      </c>
      <c r="B1181">
        <v>2</v>
      </c>
      <c r="C1181" t="s">
        <v>22</v>
      </c>
      <c r="D1181" t="s">
        <v>2</v>
      </c>
      <c r="E1181" s="8">
        <v>44829</v>
      </c>
      <c r="F1181">
        <v>104</v>
      </c>
    </row>
    <row r="1182" spans="1:6" x14ac:dyDescent="0.25">
      <c r="A1182" t="s">
        <v>51</v>
      </c>
      <c r="B1182">
        <v>2</v>
      </c>
      <c r="C1182" t="s">
        <v>22</v>
      </c>
      <c r="D1182" t="s">
        <v>2</v>
      </c>
      <c r="E1182" s="8">
        <v>44831</v>
      </c>
      <c r="F1182">
        <v>179</v>
      </c>
    </row>
    <row r="1183" spans="1:6" x14ac:dyDescent="0.25">
      <c r="A1183" t="s">
        <v>51</v>
      </c>
      <c r="B1183">
        <v>2</v>
      </c>
      <c r="C1183" t="s">
        <v>22</v>
      </c>
      <c r="D1183" t="s">
        <v>2</v>
      </c>
      <c r="E1183" s="8">
        <v>44833</v>
      </c>
      <c r="F1183">
        <v>184</v>
      </c>
    </row>
    <row r="1184" spans="1:6" x14ac:dyDescent="0.25">
      <c r="A1184" t="s">
        <v>51</v>
      </c>
      <c r="B1184">
        <v>2</v>
      </c>
      <c r="C1184" t="s">
        <v>22</v>
      </c>
      <c r="D1184" t="s">
        <v>2</v>
      </c>
      <c r="E1184" s="8">
        <v>44834</v>
      </c>
      <c r="F1184">
        <v>216</v>
      </c>
    </row>
    <row r="1185" spans="1:6" x14ac:dyDescent="0.25">
      <c r="A1185" t="s">
        <v>51</v>
      </c>
      <c r="B1185">
        <v>2</v>
      </c>
      <c r="C1185" t="s">
        <v>22</v>
      </c>
      <c r="D1185" t="s">
        <v>2</v>
      </c>
      <c r="E1185" s="8">
        <v>44835</v>
      </c>
      <c r="F1185">
        <v>122</v>
      </c>
    </row>
    <row r="1186" spans="1:6" x14ac:dyDescent="0.25">
      <c r="A1186" t="s">
        <v>51</v>
      </c>
      <c r="B1186">
        <v>2</v>
      </c>
      <c r="C1186" t="s">
        <v>23</v>
      </c>
      <c r="D1186" t="s">
        <v>2</v>
      </c>
      <c r="E1186" s="8">
        <v>44724</v>
      </c>
      <c r="F1186">
        <v>137</v>
      </c>
    </row>
    <row r="1187" spans="1:6" x14ac:dyDescent="0.25">
      <c r="A1187" t="s">
        <v>51</v>
      </c>
      <c r="B1187">
        <v>2</v>
      </c>
      <c r="C1187" t="s">
        <v>23</v>
      </c>
      <c r="D1187" t="s">
        <v>2</v>
      </c>
      <c r="E1187" s="8">
        <v>44725</v>
      </c>
      <c r="F1187">
        <v>124</v>
      </c>
    </row>
    <row r="1188" spans="1:6" x14ac:dyDescent="0.25">
      <c r="A1188" t="s">
        <v>51</v>
      </c>
      <c r="B1188">
        <v>2</v>
      </c>
      <c r="C1188" t="s">
        <v>23</v>
      </c>
      <c r="D1188" t="s">
        <v>2</v>
      </c>
      <c r="E1188" s="8">
        <v>44726</v>
      </c>
      <c r="F1188">
        <v>45</v>
      </c>
    </row>
    <row r="1189" spans="1:6" x14ac:dyDescent="0.25">
      <c r="A1189" t="s">
        <v>51</v>
      </c>
      <c r="B1189">
        <v>2</v>
      </c>
      <c r="C1189" t="s">
        <v>23</v>
      </c>
      <c r="D1189" t="s">
        <v>2</v>
      </c>
      <c r="E1189" s="8">
        <v>44728</v>
      </c>
      <c r="F1189">
        <v>131</v>
      </c>
    </row>
    <row r="1190" spans="1:6" x14ac:dyDescent="0.25">
      <c r="A1190" t="s">
        <v>51</v>
      </c>
      <c r="B1190">
        <v>2</v>
      </c>
      <c r="C1190" t="s">
        <v>23</v>
      </c>
      <c r="D1190" t="s">
        <v>2</v>
      </c>
      <c r="E1190" s="8">
        <v>44729</v>
      </c>
      <c r="F1190">
        <v>99</v>
      </c>
    </row>
    <row r="1191" spans="1:6" x14ac:dyDescent="0.25">
      <c r="A1191" t="s">
        <v>51</v>
      </c>
      <c r="B1191">
        <v>2</v>
      </c>
      <c r="C1191" t="s">
        <v>23</v>
      </c>
      <c r="D1191" t="s">
        <v>2</v>
      </c>
      <c r="E1191" s="8">
        <v>44730</v>
      </c>
      <c r="F1191">
        <v>217</v>
      </c>
    </row>
    <row r="1192" spans="1:6" x14ac:dyDescent="0.25">
      <c r="A1192" t="s">
        <v>51</v>
      </c>
      <c r="B1192">
        <v>2</v>
      </c>
      <c r="C1192" t="s">
        <v>23</v>
      </c>
      <c r="D1192" t="s">
        <v>2</v>
      </c>
      <c r="E1192" s="8">
        <v>44731</v>
      </c>
      <c r="F1192">
        <v>246</v>
      </c>
    </row>
    <row r="1193" spans="1:6" x14ac:dyDescent="0.25">
      <c r="A1193" t="s">
        <v>51</v>
      </c>
      <c r="B1193">
        <v>2</v>
      </c>
      <c r="C1193" t="s">
        <v>23</v>
      </c>
      <c r="D1193" t="s">
        <v>2</v>
      </c>
      <c r="E1193" s="8">
        <v>44732</v>
      </c>
      <c r="F1193">
        <v>281</v>
      </c>
    </row>
    <row r="1194" spans="1:6" x14ac:dyDescent="0.25">
      <c r="A1194" t="s">
        <v>51</v>
      </c>
      <c r="B1194">
        <v>2</v>
      </c>
      <c r="C1194" t="s">
        <v>23</v>
      </c>
      <c r="D1194" t="s">
        <v>2</v>
      </c>
      <c r="E1194" s="8">
        <v>44734</v>
      </c>
      <c r="F1194">
        <v>58</v>
      </c>
    </row>
    <row r="1195" spans="1:6" x14ac:dyDescent="0.25">
      <c r="A1195" t="s">
        <v>51</v>
      </c>
      <c r="B1195">
        <v>2</v>
      </c>
      <c r="C1195" t="s">
        <v>23</v>
      </c>
      <c r="D1195" t="s">
        <v>2</v>
      </c>
      <c r="E1195" s="8">
        <v>44735</v>
      </c>
      <c r="F1195">
        <v>67</v>
      </c>
    </row>
    <row r="1196" spans="1:6" x14ac:dyDescent="0.25">
      <c r="A1196" t="s">
        <v>51</v>
      </c>
      <c r="B1196">
        <v>2</v>
      </c>
      <c r="C1196" t="s">
        <v>23</v>
      </c>
      <c r="D1196" t="s">
        <v>2</v>
      </c>
      <c r="E1196" s="8">
        <v>44751</v>
      </c>
      <c r="F1196">
        <v>81</v>
      </c>
    </row>
    <row r="1197" spans="1:6" x14ac:dyDescent="0.25">
      <c r="A1197" t="s">
        <v>51</v>
      </c>
      <c r="B1197">
        <v>2</v>
      </c>
      <c r="C1197" t="s">
        <v>23</v>
      </c>
      <c r="D1197" t="s">
        <v>2</v>
      </c>
      <c r="E1197" s="8">
        <v>44752</v>
      </c>
      <c r="F1197">
        <v>96</v>
      </c>
    </row>
    <row r="1198" spans="1:6" x14ac:dyDescent="0.25">
      <c r="A1198" t="s">
        <v>51</v>
      </c>
      <c r="B1198">
        <v>2</v>
      </c>
      <c r="C1198" t="s">
        <v>23</v>
      </c>
      <c r="D1198" t="s">
        <v>2</v>
      </c>
      <c r="E1198" s="8">
        <v>44753</v>
      </c>
      <c r="F1198">
        <v>5</v>
      </c>
    </row>
    <row r="1199" spans="1:6" x14ac:dyDescent="0.25">
      <c r="A1199" t="s">
        <v>51</v>
      </c>
      <c r="B1199">
        <v>2</v>
      </c>
      <c r="C1199" t="s">
        <v>23</v>
      </c>
      <c r="D1199" t="s">
        <v>2</v>
      </c>
      <c r="E1199" s="8">
        <v>44755</v>
      </c>
      <c r="F1199">
        <v>44</v>
      </c>
    </row>
    <row r="1200" spans="1:6" x14ac:dyDescent="0.25">
      <c r="A1200" t="s">
        <v>51</v>
      </c>
      <c r="B1200">
        <v>2</v>
      </c>
      <c r="C1200" t="s">
        <v>23</v>
      </c>
      <c r="D1200" t="s">
        <v>2</v>
      </c>
      <c r="E1200" s="8">
        <v>44756</v>
      </c>
      <c r="F1200">
        <v>47</v>
      </c>
    </row>
    <row r="1201" spans="1:6" x14ac:dyDescent="0.25">
      <c r="A1201" t="s">
        <v>51</v>
      </c>
      <c r="B1201">
        <v>2</v>
      </c>
      <c r="C1201" t="s">
        <v>23</v>
      </c>
      <c r="D1201" t="s">
        <v>2</v>
      </c>
      <c r="E1201" s="8">
        <v>44757</v>
      </c>
      <c r="F1201">
        <v>79</v>
      </c>
    </row>
    <row r="1202" spans="1:6" x14ac:dyDescent="0.25">
      <c r="A1202" t="s">
        <v>51</v>
      </c>
      <c r="B1202">
        <v>2</v>
      </c>
      <c r="C1202" t="s">
        <v>23</v>
      </c>
      <c r="D1202" t="s">
        <v>2</v>
      </c>
      <c r="E1202" s="8">
        <v>44758</v>
      </c>
      <c r="F1202">
        <v>145</v>
      </c>
    </row>
    <row r="1203" spans="1:6" x14ac:dyDescent="0.25">
      <c r="A1203" t="s">
        <v>51</v>
      </c>
      <c r="B1203">
        <v>2</v>
      </c>
      <c r="C1203" t="s">
        <v>23</v>
      </c>
      <c r="D1203" t="s">
        <v>2</v>
      </c>
      <c r="E1203" s="8">
        <v>44759</v>
      </c>
      <c r="F1203">
        <v>22</v>
      </c>
    </row>
    <row r="1204" spans="1:6" x14ac:dyDescent="0.25">
      <c r="A1204" t="s">
        <v>51</v>
      </c>
      <c r="B1204">
        <v>2</v>
      </c>
      <c r="C1204" t="s">
        <v>23</v>
      </c>
      <c r="D1204" t="s">
        <v>2</v>
      </c>
      <c r="E1204" s="8">
        <v>44760</v>
      </c>
      <c r="F1204">
        <v>86</v>
      </c>
    </row>
    <row r="1205" spans="1:6" x14ac:dyDescent="0.25">
      <c r="A1205" t="s">
        <v>51</v>
      </c>
      <c r="B1205">
        <v>2</v>
      </c>
      <c r="C1205" t="s">
        <v>23</v>
      </c>
      <c r="D1205" t="s">
        <v>2</v>
      </c>
      <c r="E1205" s="8">
        <v>44761</v>
      </c>
      <c r="F1205">
        <v>308</v>
      </c>
    </row>
    <row r="1206" spans="1:6" x14ac:dyDescent="0.25">
      <c r="A1206" t="s">
        <v>51</v>
      </c>
      <c r="B1206">
        <v>2</v>
      </c>
      <c r="C1206" t="s">
        <v>23</v>
      </c>
      <c r="D1206" t="s">
        <v>2</v>
      </c>
      <c r="E1206" s="8">
        <v>44762</v>
      </c>
      <c r="F1206">
        <v>137</v>
      </c>
    </row>
    <row r="1207" spans="1:6" x14ac:dyDescent="0.25">
      <c r="A1207" t="s">
        <v>51</v>
      </c>
      <c r="B1207">
        <v>2</v>
      </c>
      <c r="C1207" t="s">
        <v>23</v>
      </c>
      <c r="D1207" t="s">
        <v>2</v>
      </c>
      <c r="E1207" s="8">
        <v>44763</v>
      </c>
      <c r="F1207">
        <v>175</v>
      </c>
    </row>
    <row r="1208" spans="1:6" x14ac:dyDescent="0.25">
      <c r="A1208" t="s">
        <v>51</v>
      </c>
      <c r="B1208">
        <v>2</v>
      </c>
      <c r="C1208" t="s">
        <v>23</v>
      </c>
      <c r="D1208" t="s">
        <v>2</v>
      </c>
      <c r="E1208" s="8">
        <v>44764</v>
      </c>
      <c r="F1208">
        <v>209</v>
      </c>
    </row>
    <row r="1209" spans="1:6" x14ac:dyDescent="0.25">
      <c r="A1209" t="s">
        <v>51</v>
      </c>
      <c r="B1209">
        <v>2</v>
      </c>
      <c r="C1209" t="s">
        <v>23</v>
      </c>
      <c r="D1209" t="s">
        <v>2</v>
      </c>
      <c r="E1209" s="8">
        <v>44765</v>
      </c>
      <c r="F1209">
        <v>7</v>
      </c>
    </row>
    <row r="1210" spans="1:6" x14ac:dyDescent="0.25">
      <c r="A1210" t="s">
        <v>51</v>
      </c>
      <c r="B1210">
        <v>2</v>
      </c>
      <c r="C1210" t="s">
        <v>23</v>
      </c>
      <c r="D1210" t="s">
        <v>2</v>
      </c>
      <c r="E1210" s="8">
        <v>44766</v>
      </c>
      <c r="F1210">
        <v>63</v>
      </c>
    </row>
    <row r="1211" spans="1:6" x14ac:dyDescent="0.25">
      <c r="A1211" t="s">
        <v>51</v>
      </c>
      <c r="B1211">
        <v>2</v>
      </c>
      <c r="C1211" t="s">
        <v>23</v>
      </c>
      <c r="D1211" t="s">
        <v>2</v>
      </c>
      <c r="E1211" s="8">
        <v>44768</v>
      </c>
      <c r="F1211">
        <v>70</v>
      </c>
    </row>
    <row r="1212" spans="1:6" x14ac:dyDescent="0.25">
      <c r="A1212" t="s">
        <v>51</v>
      </c>
      <c r="B1212">
        <v>2</v>
      </c>
      <c r="C1212" t="s">
        <v>23</v>
      </c>
      <c r="D1212" t="s">
        <v>2</v>
      </c>
      <c r="E1212" s="8">
        <v>44769</v>
      </c>
      <c r="F1212">
        <v>181</v>
      </c>
    </row>
    <row r="1213" spans="1:6" x14ac:dyDescent="0.25">
      <c r="A1213" t="s">
        <v>51</v>
      </c>
      <c r="B1213">
        <v>2</v>
      </c>
      <c r="C1213" t="s">
        <v>23</v>
      </c>
      <c r="D1213" t="s">
        <v>2</v>
      </c>
      <c r="E1213" s="8">
        <v>44770</v>
      </c>
      <c r="F1213">
        <v>54</v>
      </c>
    </row>
    <row r="1214" spans="1:6" x14ac:dyDescent="0.25">
      <c r="A1214" t="s">
        <v>51</v>
      </c>
      <c r="B1214">
        <v>2</v>
      </c>
      <c r="C1214" t="s">
        <v>23</v>
      </c>
      <c r="D1214" t="s">
        <v>2</v>
      </c>
      <c r="E1214" s="8">
        <v>44771</v>
      </c>
      <c r="F1214">
        <v>97</v>
      </c>
    </row>
    <row r="1215" spans="1:6" x14ac:dyDescent="0.25">
      <c r="A1215" t="s">
        <v>51</v>
      </c>
      <c r="B1215">
        <v>2</v>
      </c>
      <c r="C1215" t="s">
        <v>23</v>
      </c>
      <c r="D1215" t="s">
        <v>2</v>
      </c>
      <c r="E1215" s="8">
        <v>44772</v>
      </c>
      <c r="F1215">
        <v>151</v>
      </c>
    </row>
    <row r="1216" spans="1:6" x14ac:dyDescent="0.25">
      <c r="A1216" t="s">
        <v>51</v>
      </c>
      <c r="B1216">
        <v>2</v>
      </c>
      <c r="C1216" t="s">
        <v>23</v>
      </c>
      <c r="D1216" t="s">
        <v>2</v>
      </c>
      <c r="E1216" s="8">
        <v>44773</v>
      </c>
      <c r="F1216">
        <v>224</v>
      </c>
    </row>
    <row r="1217" spans="1:6" x14ac:dyDescent="0.25">
      <c r="A1217" t="s">
        <v>51</v>
      </c>
      <c r="B1217">
        <v>2</v>
      </c>
      <c r="C1217" t="s">
        <v>23</v>
      </c>
      <c r="D1217" t="s">
        <v>2</v>
      </c>
      <c r="E1217" s="8">
        <v>44774</v>
      </c>
      <c r="F1217">
        <v>159</v>
      </c>
    </row>
    <row r="1218" spans="1:6" x14ac:dyDescent="0.25">
      <c r="A1218" t="s">
        <v>51</v>
      </c>
      <c r="B1218">
        <v>2</v>
      </c>
      <c r="C1218" t="s">
        <v>23</v>
      </c>
      <c r="D1218" t="s">
        <v>2</v>
      </c>
      <c r="E1218" s="8">
        <v>44775</v>
      </c>
      <c r="F1218">
        <v>239</v>
      </c>
    </row>
    <row r="1219" spans="1:6" x14ac:dyDescent="0.25">
      <c r="A1219" t="s">
        <v>51</v>
      </c>
      <c r="B1219">
        <v>2</v>
      </c>
      <c r="C1219" t="s">
        <v>23</v>
      </c>
      <c r="D1219" t="s">
        <v>2</v>
      </c>
      <c r="E1219" s="8">
        <v>44776</v>
      </c>
      <c r="F1219">
        <v>62</v>
      </c>
    </row>
    <row r="1220" spans="1:6" x14ac:dyDescent="0.25">
      <c r="A1220" t="s">
        <v>51</v>
      </c>
      <c r="B1220">
        <v>2</v>
      </c>
      <c r="C1220" t="s">
        <v>23</v>
      </c>
      <c r="D1220" t="s">
        <v>2</v>
      </c>
      <c r="E1220" s="8">
        <v>44777</v>
      </c>
      <c r="F1220">
        <v>1</v>
      </c>
    </row>
    <row r="1221" spans="1:6" x14ac:dyDescent="0.25">
      <c r="A1221" t="s">
        <v>51</v>
      </c>
      <c r="B1221">
        <v>2</v>
      </c>
      <c r="C1221" t="s">
        <v>23</v>
      </c>
      <c r="D1221" t="s">
        <v>2</v>
      </c>
      <c r="E1221" s="8">
        <v>44785</v>
      </c>
      <c r="F1221">
        <v>109</v>
      </c>
    </row>
    <row r="1222" spans="1:6" x14ac:dyDescent="0.25">
      <c r="A1222" t="s">
        <v>51</v>
      </c>
      <c r="B1222">
        <v>2</v>
      </c>
      <c r="C1222" t="s">
        <v>23</v>
      </c>
      <c r="D1222" t="s">
        <v>2</v>
      </c>
      <c r="E1222" s="8">
        <v>44786</v>
      </c>
      <c r="F1222">
        <v>112</v>
      </c>
    </row>
    <row r="1223" spans="1:6" x14ac:dyDescent="0.25">
      <c r="A1223" t="s">
        <v>51</v>
      </c>
      <c r="B1223">
        <v>2</v>
      </c>
      <c r="C1223" t="s">
        <v>23</v>
      </c>
      <c r="D1223" t="s">
        <v>2</v>
      </c>
      <c r="E1223" s="8">
        <v>44788</v>
      </c>
      <c r="F1223">
        <v>24</v>
      </c>
    </row>
    <row r="1224" spans="1:6" x14ac:dyDescent="0.25">
      <c r="A1224" t="s">
        <v>51</v>
      </c>
      <c r="B1224">
        <v>2</v>
      </c>
      <c r="C1224" t="s">
        <v>23</v>
      </c>
      <c r="D1224" t="s">
        <v>2</v>
      </c>
      <c r="E1224" s="8">
        <v>44790</v>
      </c>
      <c r="F1224">
        <v>128</v>
      </c>
    </row>
    <row r="1225" spans="1:6" x14ac:dyDescent="0.25">
      <c r="A1225" t="s">
        <v>51</v>
      </c>
      <c r="B1225">
        <v>2</v>
      </c>
      <c r="C1225" t="s">
        <v>23</v>
      </c>
      <c r="D1225" t="s">
        <v>2</v>
      </c>
      <c r="E1225" s="8">
        <v>44791</v>
      </c>
      <c r="F1225">
        <v>193</v>
      </c>
    </row>
    <row r="1226" spans="1:6" x14ac:dyDescent="0.25">
      <c r="A1226" t="s">
        <v>51</v>
      </c>
      <c r="B1226">
        <v>2</v>
      </c>
      <c r="C1226" t="s">
        <v>23</v>
      </c>
      <c r="D1226" t="s">
        <v>2</v>
      </c>
      <c r="E1226" s="8">
        <v>44793</v>
      </c>
      <c r="F1226">
        <v>71</v>
      </c>
    </row>
    <row r="1227" spans="1:6" x14ac:dyDescent="0.25">
      <c r="A1227" t="s">
        <v>51</v>
      </c>
      <c r="B1227">
        <v>2</v>
      </c>
      <c r="C1227" t="s">
        <v>23</v>
      </c>
      <c r="D1227" t="s">
        <v>2</v>
      </c>
      <c r="E1227" s="8">
        <v>44796</v>
      </c>
      <c r="F1227">
        <v>158</v>
      </c>
    </row>
    <row r="1228" spans="1:6" x14ac:dyDescent="0.25">
      <c r="A1228" t="s">
        <v>51</v>
      </c>
      <c r="B1228">
        <v>2</v>
      </c>
      <c r="C1228" t="s">
        <v>23</v>
      </c>
      <c r="D1228" t="s">
        <v>2</v>
      </c>
      <c r="E1228" s="8">
        <v>44797</v>
      </c>
      <c r="F1228">
        <v>157</v>
      </c>
    </row>
    <row r="1229" spans="1:6" x14ac:dyDescent="0.25">
      <c r="A1229" t="s">
        <v>51</v>
      </c>
      <c r="B1229">
        <v>2</v>
      </c>
      <c r="C1229" t="s">
        <v>23</v>
      </c>
      <c r="D1229" t="s">
        <v>2</v>
      </c>
      <c r="E1229" s="8">
        <v>44798</v>
      </c>
      <c r="F1229">
        <v>267</v>
      </c>
    </row>
    <row r="1230" spans="1:6" x14ac:dyDescent="0.25">
      <c r="A1230" t="s">
        <v>51</v>
      </c>
      <c r="B1230">
        <v>2</v>
      </c>
      <c r="C1230" t="s">
        <v>23</v>
      </c>
      <c r="D1230" t="s">
        <v>2</v>
      </c>
      <c r="E1230" s="8">
        <v>44800</v>
      </c>
      <c r="F1230">
        <v>310</v>
      </c>
    </row>
    <row r="1231" spans="1:6" x14ac:dyDescent="0.25">
      <c r="A1231" t="s">
        <v>51</v>
      </c>
      <c r="B1231">
        <v>2</v>
      </c>
      <c r="C1231" t="s">
        <v>23</v>
      </c>
      <c r="D1231" t="s">
        <v>2</v>
      </c>
      <c r="E1231" s="8">
        <v>44802</v>
      </c>
      <c r="F1231">
        <v>80</v>
      </c>
    </row>
    <row r="1232" spans="1:6" x14ac:dyDescent="0.25">
      <c r="A1232" t="s">
        <v>51</v>
      </c>
      <c r="B1232">
        <v>2</v>
      </c>
      <c r="C1232" t="s">
        <v>23</v>
      </c>
      <c r="D1232" t="s">
        <v>2</v>
      </c>
      <c r="E1232" s="8">
        <v>44807</v>
      </c>
      <c r="F1232">
        <v>5</v>
      </c>
    </row>
    <row r="1233" spans="1:6" x14ac:dyDescent="0.25">
      <c r="A1233" t="s">
        <v>51</v>
      </c>
      <c r="B1233">
        <v>2</v>
      </c>
      <c r="C1233" t="s">
        <v>24</v>
      </c>
      <c r="D1233" t="s">
        <v>3</v>
      </c>
      <c r="E1233" s="8">
        <v>44755</v>
      </c>
      <c r="F1233">
        <v>102</v>
      </c>
    </row>
    <row r="1234" spans="1:6" x14ac:dyDescent="0.25">
      <c r="A1234" t="s">
        <v>51</v>
      </c>
      <c r="B1234">
        <v>2</v>
      </c>
      <c r="C1234" t="s">
        <v>24</v>
      </c>
      <c r="D1234" t="s">
        <v>3</v>
      </c>
      <c r="E1234" s="8">
        <v>44756</v>
      </c>
      <c r="F1234">
        <v>80</v>
      </c>
    </row>
    <row r="1235" spans="1:6" x14ac:dyDescent="0.25">
      <c r="A1235" t="s">
        <v>51</v>
      </c>
      <c r="B1235">
        <v>2</v>
      </c>
      <c r="C1235" t="s">
        <v>24</v>
      </c>
      <c r="D1235" t="s">
        <v>3</v>
      </c>
      <c r="E1235" s="8">
        <v>44757</v>
      </c>
      <c r="F1235">
        <v>158</v>
      </c>
    </row>
    <row r="1236" spans="1:6" x14ac:dyDescent="0.25">
      <c r="A1236" t="s">
        <v>51</v>
      </c>
      <c r="B1236">
        <v>2</v>
      </c>
      <c r="C1236" t="s">
        <v>24</v>
      </c>
      <c r="D1236" t="s">
        <v>3</v>
      </c>
      <c r="E1236" s="8">
        <v>44758</v>
      </c>
      <c r="F1236">
        <v>114</v>
      </c>
    </row>
    <row r="1237" spans="1:6" x14ac:dyDescent="0.25">
      <c r="A1237" t="s">
        <v>51</v>
      </c>
      <c r="B1237">
        <v>2</v>
      </c>
      <c r="C1237" t="s">
        <v>24</v>
      </c>
      <c r="D1237" t="s">
        <v>3</v>
      </c>
      <c r="E1237" s="8">
        <v>44759</v>
      </c>
      <c r="F1237">
        <v>237</v>
      </c>
    </row>
    <row r="1238" spans="1:6" x14ac:dyDescent="0.25">
      <c r="A1238" t="s">
        <v>51</v>
      </c>
      <c r="B1238">
        <v>2</v>
      </c>
      <c r="C1238" t="s">
        <v>24</v>
      </c>
      <c r="D1238" t="s">
        <v>3</v>
      </c>
      <c r="E1238" s="8">
        <v>44761</v>
      </c>
      <c r="F1238">
        <v>116</v>
      </c>
    </row>
    <row r="1239" spans="1:6" x14ac:dyDescent="0.25">
      <c r="A1239" t="s">
        <v>51</v>
      </c>
      <c r="B1239">
        <v>2</v>
      </c>
      <c r="C1239" t="s">
        <v>24</v>
      </c>
      <c r="D1239" t="s">
        <v>3</v>
      </c>
      <c r="E1239" s="8">
        <v>44762</v>
      </c>
      <c r="F1239">
        <v>202</v>
      </c>
    </row>
    <row r="1240" spans="1:6" x14ac:dyDescent="0.25">
      <c r="A1240" t="s">
        <v>51</v>
      </c>
      <c r="B1240">
        <v>2</v>
      </c>
      <c r="C1240" t="s">
        <v>24</v>
      </c>
      <c r="D1240" t="s">
        <v>3</v>
      </c>
      <c r="E1240" s="8">
        <v>44763</v>
      </c>
      <c r="F1240">
        <v>118</v>
      </c>
    </row>
    <row r="1241" spans="1:6" x14ac:dyDescent="0.25">
      <c r="A1241" t="s">
        <v>51</v>
      </c>
      <c r="B1241">
        <v>2</v>
      </c>
      <c r="C1241" t="s">
        <v>24</v>
      </c>
      <c r="D1241" t="s">
        <v>3</v>
      </c>
      <c r="E1241" s="8">
        <v>44764</v>
      </c>
      <c r="F1241">
        <v>47</v>
      </c>
    </row>
    <row r="1242" spans="1:6" x14ac:dyDescent="0.25">
      <c r="A1242" t="s">
        <v>51</v>
      </c>
      <c r="B1242">
        <v>2</v>
      </c>
      <c r="C1242" t="s">
        <v>24</v>
      </c>
      <c r="D1242" t="s">
        <v>3</v>
      </c>
      <c r="E1242" s="8">
        <v>44769</v>
      </c>
      <c r="F1242">
        <v>98</v>
      </c>
    </row>
    <row r="1243" spans="1:6" x14ac:dyDescent="0.25">
      <c r="A1243" t="s">
        <v>51</v>
      </c>
      <c r="B1243">
        <v>2</v>
      </c>
      <c r="C1243" t="s">
        <v>24</v>
      </c>
      <c r="D1243" t="s">
        <v>3</v>
      </c>
      <c r="E1243" s="8">
        <v>44770</v>
      </c>
      <c r="F1243">
        <v>107</v>
      </c>
    </row>
    <row r="1244" spans="1:6" x14ac:dyDescent="0.25">
      <c r="A1244" t="s">
        <v>51</v>
      </c>
      <c r="B1244">
        <v>2</v>
      </c>
      <c r="C1244" t="s">
        <v>24</v>
      </c>
      <c r="D1244" t="s">
        <v>3</v>
      </c>
      <c r="E1244" s="8">
        <v>44771</v>
      </c>
      <c r="F1244">
        <v>121</v>
      </c>
    </row>
    <row r="1245" spans="1:6" x14ac:dyDescent="0.25">
      <c r="A1245" t="s">
        <v>51</v>
      </c>
      <c r="B1245">
        <v>2</v>
      </c>
      <c r="C1245" t="s">
        <v>24</v>
      </c>
      <c r="D1245" t="s">
        <v>3</v>
      </c>
      <c r="E1245" s="8">
        <v>44773</v>
      </c>
      <c r="F1245">
        <v>78</v>
      </c>
    </row>
    <row r="1246" spans="1:6" x14ac:dyDescent="0.25">
      <c r="A1246" t="s">
        <v>51</v>
      </c>
      <c r="B1246">
        <v>2</v>
      </c>
      <c r="C1246" t="s">
        <v>24</v>
      </c>
      <c r="D1246" t="s">
        <v>3</v>
      </c>
      <c r="E1246" s="8">
        <v>44774</v>
      </c>
      <c r="F1246">
        <v>31</v>
      </c>
    </row>
    <row r="1247" spans="1:6" x14ac:dyDescent="0.25">
      <c r="A1247" t="s">
        <v>51</v>
      </c>
      <c r="B1247">
        <v>2</v>
      </c>
      <c r="C1247" t="s">
        <v>24</v>
      </c>
      <c r="D1247" t="s">
        <v>3</v>
      </c>
      <c r="E1247" s="8">
        <v>44775</v>
      </c>
      <c r="F1247">
        <v>27</v>
      </c>
    </row>
    <row r="1248" spans="1:6" x14ac:dyDescent="0.25">
      <c r="A1248" t="s">
        <v>51</v>
      </c>
      <c r="B1248">
        <v>2</v>
      </c>
      <c r="C1248" t="s">
        <v>24</v>
      </c>
      <c r="D1248" t="s">
        <v>3</v>
      </c>
      <c r="E1248" s="8">
        <v>44776</v>
      </c>
      <c r="F1248">
        <v>9</v>
      </c>
    </row>
    <row r="1249" spans="1:6" x14ac:dyDescent="0.25">
      <c r="A1249" t="s">
        <v>51</v>
      </c>
      <c r="B1249">
        <v>2</v>
      </c>
      <c r="C1249" t="s">
        <v>24</v>
      </c>
      <c r="D1249" t="s">
        <v>3</v>
      </c>
      <c r="E1249" s="8">
        <v>44777</v>
      </c>
      <c r="F1249">
        <v>152</v>
      </c>
    </row>
    <row r="1250" spans="1:6" x14ac:dyDescent="0.25">
      <c r="A1250" t="s">
        <v>51</v>
      </c>
      <c r="B1250">
        <v>2</v>
      </c>
      <c r="C1250" t="s">
        <v>24</v>
      </c>
      <c r="D1250" t="s">
        <v>3</v>
      </c>
      <c r="E1250" s="8">
        <v>44778</v>
      </c>
      <c r="F1250">
        <v>38</v>
      </c>
    </row>
    <row r="1251" spans="1:6" x14ac:dyDescent="0.25">
      <c r="A1251" t="s">
        <v>51</v>
      </c>
      <c r="B1251">
        <v>2</v>
      </c>
      <c r="C1251" t="s">
        <v>24</v>
      </c>
      <c r="D1251" t="s">
        <v>3</v>
      </c>
      <c r="E1251" s="8">
        <v>44779</v>
      </c>
      <c r="F1251">
        <v>114</v>
      </c>
    </row>
    <row r="1252" spans="1:6" x14ac:dyDescent="0.25">
      <c r="A1252" t="s">
        <v>51</v>
      </c>
      <c r="B1252">
        <v>2</v>
      </c>
      <c r="C1252" t="s">
        <v>24</v>
      </c>
      <c r="D1252" t="s">
        <v>3</v>
      </c>
      <c r="E1252" s="8">
        <v>44780</v>
      </c>
      <c r="F1252">
        <v>108</v>
      </c>
    </row>
    <row r="1253" spans="1:6" x14ac:dyDescent="0.25">
      <c r="A1253" t="s">
        <v>51</v>
      </c>
      <c r="B1253">
        <v>2</v>
      </c>
      <c r="C1253" t="s">
        <v>24</v>
      </c>
      <c r="D1253" t="s">
        <v>3</v>
      </c>
      <c r="E1253" s="8">
        <v>44782</v>
      </c>
      <c r="F1253">
        <v>43</v>
      </c>
    </row>
    <row r="1254" spans="1:6" x14ac:dyDescent="0.25">
      <c r="A1254" t="s">
        <v>51</v>
      </c>
      <c r="B1254">
        <v>2</v>
      </c>
      <c r="C1254" t="s">
        <v>25</v>
      </c>
      <c r="D1254" t="s">
        <v>3</v>
      </c>
      <c r="E1254" s="8">
        <v>44802</v>
      </c>
      <c r="F1254">
        <v>57</v>
      </c>
    </row>
    <row r="1255" spans="1:6" x14ac:dyDescent="0.25">
      <c r="A1255" t="s">
        <v>51</v>
      </c>
      <c r="B1255">
        <v>2</v>
      </c>
      <c r="C1255" t="s">
        <v>25</v>
      </c>
      <c r="D1255" t="s">
        <v>3</v>
      </c>
      <c r="E1255" s="8">
        <v>44803</v>
      </c>
      <c r="F1255">
        <v>289</v>
      </c>
    </row>
    <row r="1256" spans="1:6" x14ac:dyDescent="0.25">
      <c r="A1256" t="s">
        <v>51</v>
      </c>
      <c r="B1256">
        <v>2</v>
      </c>
      <c r="C1256" t="s">
        <v>25</v>
      </c>
      <c r="D1256" t="s">
        <v>3</v>
      </c>
      <c r="E1256" s="8">
        <v>44804</v>
      </c>
      <c r="F1256">
        <v>354</v>
      </c>
    </row>
    <row r="1257" spans="1:6" x14ac:dyDescent="0.25">
      <c r="A1257" t="s">
        <v>51</v>
      </c>
      <c r="B1257">
        <v>2</v>
      </c>
      <c r="C1257" t="s">
        <v>25</v>
      </c>
      <c r="D1257" t="s">
        <v>3</v>
      </c>
      <c r="E1257" s="8">
        <v>44805</v>
      </c>
      <c r="F1257">
        <v>155</v>
      </c>
    </row>
    <row r="1258" spans="1:6" x14ac:dyDescent="0.25">
      <c r="A1258" t="s">
        <v>51</v>
      </c>
      <c r="B1258">
        <v>2</v>
      </c>
      <c r="C1258" t="s">
        <v>25</v>
      </c>
      <c r="D1258" t="s">
        <v>3</v>
      </c>
      <c r="E1258" s="8">
        <v>44806</v>
      </c>
      <c r="F1258">
        <v>188</v>
      </c>
    </row>
    <row r="1259" spans="1:6" x14ac:dyDescent="0.25">
      <c r="A1259" t="s">
        <v>51</v>
      </c>
      <c r="B1259">
        <v>2</v>
      </c>
      <c r="C1259" t="s">
        <v>25</v>
      </c>
      <c r="D1259" t="s">
        <v>3</v>
      </c>
      <c r="E1259" s="8">
        <v>44807</v>
      </c>
      <c r="F1259">
        <v>215</v>
      </c>
    </row>
    <row r="1260" spans="1:6" x14ac:dyDescent="0.25">
      <c r="A1260" t="s">
        <v>51</v>
      </c>
      <c r="B1260">
        <v>2</v>
      </c>
      <c r="C1260" t="s">
        <v>25</v>
      </c>
      <c r="D1260" t="s">
        <v>3</v>
      </c>
      <c r="E1260" s="8">
        <v>44808</v>
      </c>
      <c r="F1260">
        <v>199</v>
      </c>
    </row>
    <row r="1261" spans="1:6" x14ac:dyDescent="0.25">
      <c r="A1261" t="s">
        <v>51</v>
      </c>
      <c r="B1261">
        <v>2</v>
      </c>
      <c r="C1261" t="s">
        <v>25</v>
      </c>
      <c r="D1261" t="s">
        <v>3</v>
      </c>
      <c r="E1261" s="8">
        <v>44809</v>
      </c>
      <c r="F1261">
        <v>101</v>
      </c>
    </row>
    <row r="1262" spans="1:6" x14ac:dyDescent="0.25">
      <c r="A1262" t="s">
        <v>51</v>
      </c>
      <c r="B1262">
        <v>2</v>
      </c>
      <c r="C1262" t="s">
        <v>25</v>
      </c>
      <c r="D1262" t="s">
        <v>3</v>
      </c>
      <c r="E1262" s="8">
        <v>44810</v>
      </c>
      <c r="F1262">
        <v>272</v>
      </c>
    </row>
    <row r="1263" spans="1:6" x14ac:dyDescent="0.25">
      <c r="A1263" t="s">
        <v>51</v>
      </c>
      <c r="B1263">
        <v>2</v>
      </c>
      <c r="C1263" t="s">
        <v>25</v>
      </c>
      <c r="D1263" t="s">
        <v>3</v>
      </c>
      <c r="E1263" s="8">
        <v>44811</v>
      </c>
      <c r="F1263">
        <v>91</v>
      </c>
    </row>
    <row r="1264" spans="1:6" x14ac:dyDescent="0.25">
      <c r="A1264" t="s">
        <v>51</v>
      </c>
      <c r="B1264">
        <v>2</v>
      </c>
      <c r="C1264" t="s">
        <v>25</v>
      </c>
      <c r="D1264" t="s">
        <v>3</v>
      </c>
      <c r="E1264" s="8">
        <v>44813</v>
      </c>
      <c r="F1264">
        <v>272</v>
      </c>
    </row>
    <row r="1265" spans="1:6" x14ac:dyDescent="0.25">
      <c r="A1265" t="s">
        <v>51</v>
      </c>
      <c r="B1265">
        <v>2</v>
      </c>
      <c r="C1265" t="s">
        <v>25</v>
      </c>
      <c r="D1265" t="s">
        <v>3</v>
      </c>
      <c r="E1265" s="8">
        <v>44814</v>
      </c>
      <c r="F1265">
        <v>323</v>
      </c>
    </row>
    <row r="1266" spans="1:6" x14ac:dyDescent="0.25">
      <c r="A1266" t="s">
        <v>51</v>
      </c>
      <c r="B1266">
        <v>2</v>
      </c>
      <c r="C1266" t="s">
        <v>25</v>
      </c>
      <c r="D1266" t="s">
        <v>3</v>
      </c>
      <c r="E1266" s="8">
        <v>44816</v>
      </c>
      <c r="F1266">
        <v>114</v>
      </c>
    </row>
    <row r="1267" spans="1:6" x14ac:dyDescent="0.25">
      <c r="A1267" t="s">
        <v>51</v>
      </c>
      <c r="B1267">
        <v>2</v>
      </c>
      <c r="C1267" t="s">
        <v>25</v>
      </c>
      <c r="D1267" t="s">
        <v>3</v>
      </c>
      <c r="E1267" s="8">
        <v>44817</v>
      </c>
      <c r="F1267">
        <v>172</v>
      </c>
    </row>
    <row r="1268" spans="1:6" x14ac:dyDescent="0.25">
      <c r="A1268" t="s">
        <v>51</v>
      </c>
      <c r="B1268">
        <v>2</v>
      </c>
      <c r="C1268" t="s">
        <v>25</v>
      </c>
      <c r="D1268" t="s">
        <v>3</v>
      </c>
      <c r="E1268" s="8">
        <v>44818</v>
      </c>
      <c r="F1268">
        <v>303</v>
      </c>
    </row>
    <row r="1269" spans="1:6" x14ac:dyDescent="0.25">
      <c r="A1269" t="s">
        <v>51</v>
      </c>
      <c r="B1269">
        <v>2</v>
      </c>
      <c r="C1269" t="s">
        <v>25</v>
      </c>
      <c r="D1269" t="s">
        <v>3</v>
      </c>
      <c r="E1269" s="8">
        <v>44819</v>
      </c>
      <c r="F1269">
        <v>181</v>
      </c>
    </row>
    <row r="1270" spans="1:6" x14ac:dyDescent="0.25">
      <c r="A1270" t="s">
        <v>51</v>
      </c>
      <c r="B1270">
        <v>2</v>
      </c>
      <c r="C1270" t="s">
        <v>26</v>
      </c>
      <c r="D1270" t="s">
        <v>2</v>
      </c>
      <c r="E1270" s="8">
        <v>44821</v>
      </c>
      <c r="F1270">
        <v>60</v>
      </c>
    </row>
    <row r="1271" spans="1:6" x14ac:dyDescent="0.25">
      <c r="A1271" t="s">
        <v>51</v>
      </c>
      <c r="B1271">
        <v>2</v>
      </c>
      <c r="C1271" t="s">
        <v>26</v>
      </c>
      <c r="D1271" t="s">
        <v>2</v>
      </c>
      <c r="E1271" s="8">
        <v>44822</v>
      </c>
      <c r="F1271">
        <v>86</v>
      </c>
    </row>
    <row r="1272" spans="1:6" x14ac:dyDescent="0.25">
      <c r="A1272" t="s">
        <v>51</v>
      </c>
      <c r="B1272">
        <v>2</v>
      </c>
      <c r="C1272" t="s">
        <v>26</v>
      </c>
      <c r="D1272" t="s">
        <v>2</v>
      </c>
      <c r="E1272" s="8">
        <v>44823</v>
      </c>
      <c r="F1272">
        <v>254</v>
      </c>
    </row>
    <row r="1273" spans="1:6" x14ac:dyDescent="0.25">
      <c r="A1273" t="s">
        <v>51</v>
      </c>
      <c r="B1273">
        <v>2</v>
      </c>
      <c r="C1273" t="s">
        <v>26</v>
      </c>
      <c r="D1273" t="s">
        <v>2</v>
      </c>
      <c r="E1273" s="8">
        <v>44824</v>
      </c>
      <c r="F1273">
        <v>221</v>
      </c>
    </row>
    <row r="1274" spans="1:6" x14ac:dyDescent="0.25">
      <c r="A1274" t="s">
        <v>51</v>
      </c>
      <c r="B1274">
        <v>2</v>
      </c>
      <c r="C1274" t="s">
        <v>26</v>
      </c>
      <c r="D1274" t="s">
        <v>2</v>
      </c>
      <c r="E1274" s="8">
        <v>44825</v>
      </c>
      <c r="F1274">
        <v>134</v>
      </c>
    </row>
    <row r="1275" spans="1:6" x14ac:dyDescent="0.25">
      <c r="A1275" t="s">
        <v>51</v>
      </c>
      <c r="B1275">
        <v>2</v>
      </c>
      <c r="C1275" t="s">
        <v>26</v>
      </c>
      <c r="D1275" t="s">
        <v>2</v>
      </c>
      <c r="E1275" s="8">
        <v>44826</v>
      </c>
      <c r="F1275">
        <v>154</v>
      </c>
    </row>
    <row r="1276" spans="1:6" x14ac:dyDescent="0.25">
      <c r="A1276" t="s">
        <v>51</v>
      </c>
      <c r="B1276">
        <v>2</v>
      </c>
      <c r="C1276" t="s">
        <v>26</v>
      </c>
      <c r="D1276" t="s">
        <v>2</v>
      </c>
      <c r="E1276" s="8">
        <v>44827</v>
      </c>
      <c r="F1276">
        <v>210</v>
      </c>
    </row>
    <row r="1277" spans="1:6" x14ac:dyDescent="0.25">
      <c r="A1277" t="s">
        <v>51</v>
      </c>
      <c r="B1277">
        <v>2</v>
      </c>
      <c r="C1277" t="s">
        <v>26</v>
      </c>
      <c r="D1277" t="s">
        <v>2</v>
      </c>
      <c r="E1277" s="8">
        <v>44828</v>
      </c>
      <c r="F1277">
        <v>152</v>
      </c>
    </row>
    <row r="1278" spans="1:6" x14ac:dyDescent="0.25">
      <c r="A1278" t="s">
        <v>51</v>
      </c>
      <c r="B1278">
        <v>2</v>
      </c>
      <c r="C1278" t="s">
        <v>26</v>
      </c>
      <c r="D1278" t="s">
        <v>2</v>
      </c>
      <c r="E1278" s="8">
        <v>44829</v>
      </c>
      <c r="F1278">
        <v>129</v>
      </c>
    </row>
    <row r="1279" spans="1:6" x14ac:dyDescent="0.25">
      <c r="A1279" t="s">
        <v>51</v>
      </c>
      <c r="B1279">
        <v>2</v>
      </c>
      <c r="C1279" t="s">
        <v>26</v>
      </c>
      <c r="D1279" t="s">
        <v>2</v>
      </c>
      <c r="E1279" s="8">
        <v>44830</v>
      </c>
      <c r="F1279">
        <v>28</v>
      </c>
    </row>
    <row r="1280" spans="1:6" x14ac:dyDescent="0.25">
      <c r="A1280" t="s">
        <v>51</v>
      </c>
      <c r="B1280">
        <v>2</v>
      </c>
      <c r="C1280" t="s">
        <v>26</v>
      </c>
      <c r="D1280" t="s">
        <v>2</v>
      </c>
      <c r="E1280" s="8">
        <v>44831</v>
      </c>
      <c r="F1280">
        <v>156</v>
      </c>
    </row>
    <row r="1281" spans="1:6" x14ac:dyDescent="0.25">
      <c r="A1281" t="s">
        <v>51</v>
      </c>
      <c r="B1281">
        <v>2</v>
      </c>
      <c r="C1281" t="s">
        <v>27</v>
      </c>
      <c r="D1281" t="s">
        <v>2</v>
      </c>
      <c r="E1281" s="8">
        <v>44833</v>
      </c>
      <c r="F1281">
        <v>263</v>
      </c>
    </row>
    <row r="1282" spans="1:6" x14ac:dyDescent="0.25">
      <c r="A1282" t="s">
        <v>51</v>
      </c>
      <c r="B1282">
        <v>2</v>
      </c>
      <c r="C1282" t="s">
        <v>27</v>
      </c>
      <c r="D1282" t="s">
        <v>2</v>
      </c>
      <c r="E1282" s="8">
        <v>44834</v>
      </c>
      <c r="F1282">
        <v>146</v>
      </c>
    </row>
    <row r="1283" spans="1:6" x14ac:dyDescent="0.25">
      <c r="A1283" t="s">
        <v>51</v>
      </c>
      <c r="B1283">
        <v>2</v>
      </c>
      <c r="C1283" t="s">
        <v>27</v>
      </c>
      <c r="D1283" t="s">
        <v>2</v>
      </c>
      <c r="E1283" s="8">
        <v>44835</v>
      </c>
      <c r="F1283">
        <v>219</v>
      </c>
    </row>
    <row r="1284" spans="1:6" x14ac:dyDescent="0.25">
      <c r="A1284" t="s">
        <v>51</v>
      </c>
      <c r="B1284">
        <v>2</v>
      </c>
      <c r="C1284" t="s">
        <v>27</v>
      </c>
      <c r="D1284" t="s">
        <v>2</v>
      </c>
      <c r="E1284" s="8">
        <v>44836</v>
      </c>
      <c r="F1284">
        <v>157</v>
      </c>
    </row>
    <row r="1285" spans="1:6" x14ac:dyDescent="0.25">
      <c r="A1285" t="s">
        <v>51</v>
      </c>
      <c r="B1285">
        <v>2</v>
      </c>
      <c r="C1285" t="s">
        <v>27</v>
      </c>
      <c r="D1285" t="s">
        <v>2</v>
      </c>
      <c r="E1285" s="8">
        <v>44837</v>
      </c>
      <c r="F1285">
        <v>438</v>
      </c>
    </row>
    <row r="1286" spans="1:6" x14ac:dyDescent="0.25">
      <c r="A1286" t="s">
        <v>51</v>
      </c>
      <c r="B1286">
        <v>2</v>
      </c>
      <c r="C1286" t="s">
        <v>27</v>
      </c>
      <c r="D1286" t="s">
        <v>2</v>
      </c>
      <c r="E1286" s="8">
        <v>44838</v>
      </c>
      <c r="F1286">
        <v>317</v>
      </c>
    </row>
    <row r="1287" spans="1:6" x14ac:dyDescent="0.25">
      <c r="A1287" t="s">
        <v>51</v>
      </c>
      <c r="B1287">
        <v>2</v>
      </c>
      <c r="C1287" t="s">
        <v>27</v>
      </c>
      <c r="D1287" t="s">
        <v>2</v>
      </c>
      <c r="E1287" s="8">
        <v>44839</v>
      </c>
      <c r="F1287">
        <v>395</v>
      </c>
    </row>
    <row r="1288" spans="1:6" x14ac:dyDescent="0.25">
      <c r="A1288" t="s">
        <v>51</v>
      </c>
      <c r="B1288">
        <v>2</v>
      </c>
      <c r="C1288" t="s">
        <v>27</v>
      </c>
      <c r="D1288" t="s">
        <v>2</v>
      </c>
      <c r="E1288" s="8">
        <v>44840</v>
      </c>
      <c r="F1288">
        <v>223</v>
      </c>
    </row>
    <row r="1289" spans="1:6" x14ac:dyDescent="0.25">
      <c r="A1289" t="s">
        <v>51</v>
      </c>
      <c r="B1289">
        <v>2</v>
      </c>
      <c r="C1289" t="s">
        <v>27</v>
      </c>
      <c r="D1289" t="s">
        <v>2</v>
      </c>
      <c r="E1289" s="8">
        <v>44841</v>
      </c>
      <c r="F1289">
        <v>80</v>
      </c>
    </row>
    <row r="1290" spans="1:6" x14ac:dyDescent="0.25">
      <c r="A1290" t="s">
        <v>51</v>
      </c>
      <c r="B1290">
        <v>2</v>
      </c>
      <c r="C1290" t="s">
        <v>27</v>
      </c>
      <c r="D1290" t="s">
        <v>2</v>
      </c>
      <c r="E1290" s="8">
        <v>44842</v>
      </c>
      <c r="F1290">
        <v>146</v>
      </c>
    </row>
    <row r="1291" spans="1:6" x14ac:dyDescent="0.25">
      <c r="A1291" t="s">
        <v>51</v>
      </c>
      <c r="B1291">
        <v>2</v>
      </c>
      <c r="C1291" t="s">
        <v>28</v>
      </c>
      <c r="D1291" t="s">
        <v>3</v>
      </c>
      <c r="E1291" s="8">
        <v>44783</v>
      </c>
      <c r="F1291">
        <v>102</v>
      </c>
    </row>
    <row r="1292" spans="1:6" x14ac:dyDescent="0.25">
      <c r="A1292" t="s">
        <v>51</v>
      </c>
      <c r="B1292">
        <v>2</v>
      </c>
      <c r="C1292" t="s">
        <v>28</v>
      </c>
      <c r="D1292" t="s">
        <v>3</v>
      </c>
      <c r="E1292" s="8">
        <v>44784</v>
      </c>
      <c r="F1292">
        <v>86</v>
      </c>
    </row>
    <row r="1293" spans="1:6" x14ac:dyDescent="0.25">
      <c r="A1293" t="s">
        <v>51</v>
      </c>
      <c r="B1293">
        <v>2</v>
      </c>
      <c r="C1293" t="s">
        <v>28</v>
      </c>
      <c r="D1293" t="s">
        <v>3</v>
      </c>
      <c r="E1293" s="8">
        <v>44789</v>
      </c>
      <c r="F1293">
        <v>22</v>
      </c>
    </row>
    <row r="1294" spans="1:6" x14ac:dyDescent="0.25">
      <c r="A1294" t="s">
        <v>51</v>
      </c>
      <c r="B1294">
        <v>2</v>
      </c>
      <c r="C1294" t="s">
        <v>28</v>
      </c>
      <c r="D1294" t="s">
        <v>3</v>
      </c>
      <c r="E1294" s="8">
        <v>44790</v>
      </c>
      <c r="F1294">
        <v>270</v>
      </c>
    </row>
    <row r="1295" spans="1:6" x14ac:dyDescent="0.25">
      <c r="A1295" t="s">
        <v>51</v>
      </c>
      <c r="B1295">
        <v>2</v>
      </c>
      <c r="C1295" t="s">
        <v>28</v>
      </c>
      <c r="D1295" t="s">
        <v>3</v>
      </c>
      <c r="E1295" s="8">
        <v>44791</v>
      </c>
      <c r="F1295">
        <v>121</v>
      </c>
    </row>
    <row r="1296" spans="1:6" x14ac:dyDescent="0.25">
      <c r="A1296" t="s">
        <v>51</v>
      </c>
      <c r="B1296">
        <v>2</v>
      </c>
      <c r="C1296" t="s">
        <v>28</v>
      </c>
      <c r="D1296" t="s">
        <v>3</v>
      </c>
      <c r="E1296" s="8">
        <v>44792</v>
      </c>
      <c r="F1296">
        <v>272</v>
      </c>
    </row>
    <row r="1297" spans="1:6" x14ac:dyDescent="0.25">
      <c r="A1297" t="s">
        <v>51</v>
      </c>
      <c r="B1297">
        <v>2</v>
      </c>
      <c r="C1297" t="s">
        <v>28</v>
      </c>
      <c r="D1297" t="s">
        <v>3</v>
      </c>
      <c r="E1297" s="8">
        <v>44793</v>
      </c>
      <c r="F1297">
        <v>195</v>
      </c>
    </row>
    <row r="1298" spans="1:6" x14ac:dyDescent="0.25">
      <c r="A1298" t="s">
        <v>51</v>
      </c>
      <c r="B1298">
        <v>2</v>
      </c>
      <c r="C1298" t="s">
        <v>28</v>
      </c>
      <c r="D1298" t="s">
        <v>3</v>
      </c>
      <c r="E1298" s="8">
        <v>44794</v>
      </c>
      <c r="F1298">
        <v>94</v>
      </c>
    </row>
    <row r="1299" spans="1:6" x14ac:dyDescent="0.25">
      <c r="A1299" t="s">
        <v>51</v>
      </c>
      <c r="B1299">
        <v>2</v>
      </c>
      <c r="C1299" t="s">
        <v>28</v>
      </c>
      <c r="D1299" t="s">
        <v>3</v>
      </c>
      <c r="E1299" s="8">
        <v>44795</v>
      </c>
      <c r="F1299">
        <v>245</v>
      </c>
    </row>
    <row r="1300" spans="1:6" x14ac:dyDescent="0.25">
      <c r="A1300" t="s">
        <v>51</v>
      </c>
      <c r="B1300">
        <v>2</v>
      </c>
      <c r="C1300" t="s">
        <v>28</v>
      </c>
      <c r="D1300" t="s">
        <v>3</v>
      </c>
      <c r="E1300" s="8">
        <v>44796</v>
      </c>
      <c r="F1300">
        <v>261</v>
      </c>
    </row>
    <row r="1301" spans="1:6" x14ac:dyDescent="0.25">
      <c r="A1301" t="s">
        <v>51</v>
      </c>
      <c r="B1301">
        <v>2</v>
      </c>
      <c r="C1301" t="s">
        <v>28</v>
      </c>
      <c r="D1301" t="s">
        <v>3</v>
      </c>
      <c r="E1301" s="8">
        <v>44797</v>
      </c>
      <c r="F1301">
        <v>271</v>
      </c>
    </row>
    <row r="1302" spans="1:6" x14ac:dyDescent="0.25">
      <c r="A1302" t="s">
        <v>51</v>
      </c>
      <c r="B1302">
        <v>2</v>
      </c>
      <c r="C1302" t="s">
        <v>28</v>
      </c>
      <c r="D1302" t="s">
        <v>3</v>
      </c>
      <c r="E1302" s="8">
        <v>44798</v>
      </c>
      <c r="F1302">
        <v>345</v>
      </c>
    </row>
    <row r="1303" spans="1:6" x14ac:dyDescent="0.25">
      <c r="A1303" t="s">
        <v>51</v>
      </c>
      <c r="B1303">
        <v>2</v>
      </c>
      <c r="C1303" t="s">
        <v>28</v>
      </c>
      <c r="D1303" t="s">
        <v>3</v>
      </c>
      <c r="E1303" s="8">
        <v>44799</v>
      </c>
      <c r="F1303">
        <v>130</v>
      </c>
    </row>
    <row r="1304" spans="1:6" x14ac:dyDescent="0.25">
      <c r="A1304" t="s">
        <v>51</v>
      </c>
      <c r="B1304">
        <v>2</v>
      </c>
      <c r="C1304" t="s">
        <v>29</v>
      </c>
      <c r="D1304" t="s">
        <v>3</v>
      </c>
      <c r="E1304" s="8">
        <v>44735</v>
      </c>
      <c r="F1304">
        <v>288</v>
      </c>
    </row>
    <row r="1305" spans="1:6" x14ac:dyDescent="0.25">
      <c r="A1305" t="s">
        <v>51</v>
      </c>
      <c r="B1305">
        <v>2</v>
      </c>
      <c r="C1305" t="s">
        <v>29</v>
      </c>
      <c r="D1305" t="s">
        <v>3</v>
      </c>
      <c r="E1305" s="8">
        <v>44736</v>
      </c>
      <c r="F1305">
        <v>90</v>
      </c>
    </row>
    <row r="1306" spans="1:6" x14ac:dyDescent="0.25">
      <c r="A1306" t="s">
        <v>51</v>
      </c>
      <c r="B1306">
        <v>2</v>
      </c>
      <c r="C1306" t="s">
        <v>29</v>
      </c>
      <c r="D1306" t="s">
        <v>3</v>
      </c>
      <c r="E1306" s="8">
        <v>44737</v>
      </c>
      <c r="F1306">
        <v>144</v>
      </c>
    </row>
    <row r="1307" spans="1:6" x14ac:dyDescent="0.25">
      <c r="A1307" t="s">
        <v>51</v>
      </c>
      <c r="B1307">
        <v>2</v>
      </c>
      <c r="C1307" t="s">
        <v>29</v>
      </c>
      <c r="D1307" t="s">
        <v>3</v>
      </c>
      <c r="E1307" s="8">
        <v>44739</v>
      </c>
      <c r="F1307">
        <v>101</v>
      </c>
    </row>
    <row r="1308" spans="1:6" x14ac:dyDescent="0.25">
      <c r="A1308" t="s">
        <v>51</v>
      </c>
      <c r="B1308">
        <v>2</v>
      </c>
      <c r="C1308" t="s">
        <v>29</v>
      </c>
      <c r="D1308" t="s">
        <v>3</v>
      </c>
      <c r="E1308" s="8">
        <v>44740</v>
      </c>
      <c r="F1308">
        <v>121</v>
      </c>
    </row>
    <row r="1309" spans="1:6" x14ac:dyDescent="0.25">
      <c r="A1309" t="s">
        <v>51</v>
      </c>
      <c r="B1309">
        <v>2</v>
      </c>
      <c r="C1309" t="s">
        <v>29</v>
      </c>
      <c r="D1309" t="s">
        <v>3</v>
      </c>
      <c r="E1309" s="8">
        <v>44741</v>
      </c>
      <c r="F1309">
        <v>130</v>
      </c>
    </row>
    <row r="1310" spans="1:6" x14ac:dyDescent="0.25">
      <c r="A1310" t="s">
        <v>51</v>
      </c>
      <c r="B1310">
        <v>2</v>
      </c>
      <c r="C1310" t="s">
        <v>29</v>
      </c>
      <c r="D1310" t="s">
        <v>3</v>
      </c>
      <c r="E1310" s="8">
        <v>44742</v>
      </c>
      <c r="F1310">
        <v>196</v>
      </c>
    </row>
    <row r="1311" spans="1:6" x14ac:dyDescent="0.25">
      <c r="A1311" t="s">
        <v>51</v>
      </c>
      <c r="B1311">
        <v>2</v>
      </c>
      <c r="C1311" t="s">
        <v>29</v>
      </c>
      <c r="D1311" t="s">
        <v>3</v>
      </c>
      <c r="E1311" s="8">
        <v>44743</v>
      </c>
      <c r="F1311">
        <v>93</v>
      </c>
    </row>
    <row r="1312" spans="1:6" x14ac:dyDescent="0.25">
      <c r="A1312" t="s">
        <v>51</v>
      </c>
      <c r="B1312">
        <v>2</v>
      </c>
      <c r="C1312" t="s">
        <v>29</v>
      </c>
      <c r="D1312" t="s">
        <v>3</v>
      </c>
      <c r="E1312" s="8">
        <v>44744</v>
      </c>
      <c r="F1312">
        <v>19</v>
      </c>
    </row>
    <row r="1313" spans="1:6" x14ac:dyDescent="0.25">
      <c r="A1313" t="s">
        <v>51</v>
      </c>
      <c r="B1313">
        <v>2</v>
      </c>
      <c r="C1313" t="s">
        <v>29</v>
      </c>
      <c r="D1313" t="s">
        <v>3</v>
      </c>
      <c r="E1313" s="8">
        <v>44746</v>
      </c>
      <c r="F1313">
        <v>88</v>
      </c>
    </row>
    <row r="1314" spans="1:6" x14ac:dyDescent="0.25">
      <c r="A1314" t="s">
        <v>51</v>
      </c>
      <c r="B1314">
        <v>2</v>
      </c>
      <c r="C1314" t="s">
        <v>29</v>
      </c>
      <c r="D1314" t="s">
        <v>3</v>
      </c>
      <c r="E1314" s="8">
        <v>44747</v>
      </c>
      <c r="F1314">
        <v>4</v>
      </c>
    </row>
    <row r="1315" spans="1:6" x14ac:dyDescent="0.25">
      <c r="A1315" t="s">
        <v>51</v>
      </c>
      <c r="B1315">
        <v>2</v>
      </c>
      <c r="C1315" t="s">
        <v>29</v>
      </c>
      <c r="D1315" t="s">
        <v>3</v>
      </c>
      <c r="E1315" s="8">
        <v>44748</v>
      </c>
      <c r="F1315">
        <v>14</v>
      </c>
    </row>
    <row r="1316" spans="1:6" x14ac:dyDescent="0.25">
      <c r="A1316" t="s">
        <v>51</v>
      </c>
      <c r="B1316">
        <v>2</v>
      </c>
      <c r="C1316" t="s">
        <v>29</v>
      </c>
      <c r="D1316" t="s">
        <v>3</v>
      </c>
      <c r="E1316" s="8">
        <v>44750</v>
      </c>
      <c r="F1316">
        <v>22</v>
      </c>
    </row>
    <row r="1317" spans="1:6" x14ac:dyDescent="0.25">
      <c r="A1317" t="s">
        <v>51</v>
      </c>
      <c r="B1317">
        <v>2</v>
      </c>
      <c r="C1317" t="s">
        <v>29</v>
      </c>
      <c r="D1317" t="s">
        <v>3</v>
      </c>
      <c r="E1317" s="8">
        <v>44751</v>
      </c>
      <c r="F1317">
        <v>153</v>
      </c>
    </row>
    <row r="1318" spans="1:6" x14ac:dyDescent="0.25">
      <c r="A1318" t="s">
        <v>51</v>
      </c>
      <c r="B1318">
        <v>2</v>
      </c>
      <c r="C1318" t="s">
        <v>29</v>
      </c>
      <c r="D1318" t="s">
        <v>3</v>
      </c>
      <c r="E1318" s="8">
        <v>44752</v>
      </c>
      <c r="F1318">
        <v>104</v>
      </c>
    </row>
    <row r="1319" spans="1:6" x14ac:dyDescent="0.25">
      <c r="A1319" t="s">
        <v>51</v>
      </c>
      <c r="B1319">
        <v>2</v>
      </c>
      <c r="C1319" t="s">
        <v>29</v>
      </c>
      <c r="D1319" t="s">
        <v>3</v>
      </c>
      <c r="E1319" s="8">
        <v>44753</v>
      </c>
      <c r="F1319">
        <v>85</v>
      </c>
    </row>
    <row r="1320" spans="1:6" x14ac:dyDescent="0.25">
      <c r="A1320" t="s">
        <v>51</v>
      </c>
      <c r="B1320">
        <v>2</v>
      </c>
      <c r="C1320" t="s">
        <v>29</v>
      </c>
      <c r="D1320" t="s">
        <v>3</v>
      </c>
      <c r="E1320" s="8">
        <v>44760</v>
      </c>
      <c r="F1320">
        <v>0</v>
      </c>
    </row>
    <row r="1321" spans="1:6" x14ac:dyDescent="0.25">
      <c r="A1321" t="s">
        <v>51</v>
      </c>
      <c r="B1321">
        <v>2</v>
      </c>
      <c r="C1321" t="s">
        <v>30</v>
      </c>
      <c r="D1321" t="s">
        <v>2</v>
      </c>
      <c r="E1321" s="8">
        <v>44811</v>
      </c>
      <c r="F1321">
        <v>117</v>
      </c>
    </row>
    <row r="1322" spans="1:6" x14ac:dyDescent="0.25">
      <c r="A1322" t="s">
        <v>51</v>
      </c>
      <c r="B1322">
        <v>2</v>
      </c>
      <c r="C1322" t="s">
        <v>30</v>
      </c>
      <c r="D1322" t="s">
        <v>2</v>
      </c>
      <c r="E1322" s="8">
        <v>44816</v>
      </c>
      <c r="F1322">
        <v>16</v>
      </c>
    </row>
    <row r="1323" spans="1:6" x14ac:dyDescent="0.25">
      <c r="A1323" t="s">
        <v>51</v>
      </c>
      <c r="B1323">
        <v>2</v>
      </c>
      <c r="C1323" t="s">
        <v>30</v>
      </c>
      <c r="D1323" t="s">
        <v>2</v>
      </c>
      <c r="E1323" s="8">
        <v>44817</v>
      </c>
      <c r="F1323">
        <v>13</v>
      </c>
    </row>
    <row r="1324" spans="1:6" x14ac:dyDescent="0.25">
      <c r="A1324" t="s">
        <v>51</v>
      </c>
      <c r="B1324">
        <v>2</v>
      </c>
      <c r="C1324" t="s">
        <v>30</v>
      </c>
      <c r="D1324" t="s">
        <v>2</v>
      </c>
      <c r="E1324" s="8">
        <v>44819</v>
      </c>
      <c r="F1324">
        <v>40</v>
      </c>
    </row>
    <row r="1325" spans="1:6" x14ac:dyDescent="0.25">
      <c r="A1325" t="s">
        <v>51</v>
      </c>
      <c r="B1325">
        <v>2</v>
      </c>
      <c r="C1325" t="s">
        <v>30</v>
      </c>
      <c r="D1325" t="s">
        <v>2</v>
      </c>
      <c r="E1325" s="8">
        <v>44825</v>
      </c>
      <c r="F1325">
        <v>60</v>
      </c>
    </row>
    <row r="1326" spans="1:6" x14ac:dyDescent="0.25">
      <c r="A1326" t="s">
        <v>51</v>
      </c>
      <c r="B1326">
        <v>2</v>
      </c>
      <c r="C1326" t="s">
        <v>30</v>
      </c>
      <c r="D1326" t="s">
        <v>2</v>
      </c>
      <c r="E1326" s="8">
        <v>44826</v>
      </c>
      <c r="F1326">
        <v>104</v>
      </c>
    </row>
    <row r="1327" spans="1:6" x14ac:dyDescent="0.25">
      <c r="A1327" t="s">
        <v>51</v>
      </c>
      <c r="B1327">
        <v>2</v>
      </c>
      <c r="C1327" t="s">
        <v>30</v>
      </c>
      <c r="D1327" t="s">
        <v>2</v>
      </c>
      <c r="E1327" s="8">
        <v>44827</v>
      </c>
      <c r="F1327">
        <v>58</v>
      </c>
    </row>
    <row r="1328" spans="1:6" x14ac:dyDescent="0.25">
      <c r="A1328" t="s">
        <v>51</v>
      </c>
      <c r="B1328">
        <v>3</v>
      </c>
      <c r="C1328" t="s">
        <v>32</v>
      </c>
      <c r="D1328" t="s">
        <v>7</v>
      </c>
      <c r="E1328" s="8">
        <v>44755</v>
      </c>
      <c r="F1328">
        <v>75</v>
      </c>
    </row>
    <row r="1329" spans="1:6" x14ac:dyDescent="0.25">
      <c r="A1329" t="s">
        <v>51</v>
      </c>
      <c r="B1329">
        <v>3</v>
      </c>
      <c r="C1329" t="s">
        <v>32</v>
      </c>
      <c r="D1329" t="s">
        <v>7</v>
      </c>
      <c r="E1329" s="8">
        <v>44757</v>
      </c>
      <c r="F1329">
        <v>48</v>
      </c>
    </row>
    <row r="1330" spans="1:6" x14ac:dyDescent="0.25">
      <c r="A1330" t="s">
        <v>51</v>
      </c>
      <c r="B1330">
        <v>3</v>
      </c>
      <c r="C1330" t="s">
        <v>32</v>
      </c>
      <c r="D1330" t="s">
        <v>7</v>
      </c>
      <c r="E1330" s="8">
        <v>44758</v>
      </c>
      <c r="F1330">
        <v>56</v>
      </c>
    </row>
    <row r="1331" spans="1:6" x14ac:dyDescent="0.25">
      <c r="A1331" t="s">
        <v>51</v>
      </c>
      <c r="B1331">
        <v>3</v>
      </c>
      <c r="C1331" t="s">
        <v>32</v>
      </c>
      <c r="D1331" t="s">
        <v>7</v>
      </c>
      <c r="E1331" s="8">
        <v>44764</v>
      </c>
      <c r="F1331">
        <v>26</v>
      </c>
    </row>
    <row r="1332" spans="1:6" x14ac:dyDescent="0.25">
      <c r="A1332" t="s">
        <v>51</v>
      </c>
      <c r="B1332">
        <v>3</v>
      </c>
      <c r="C1332" t="s">
        <v>32</v>
      </c>
      <c r="D1332" t="s">
        <v>7</v>
      </c>
      <c r="E1332" s="8">
        <v>44765</v>
      </c>
      <c r="F1332">
        <v>87</v>
      </c>
    </row>
    <row r="1333" spans="1:6" x14ac:dyDescent="0.25">
      <c r="A1333" t="s">
        <v>51</v>
      </c>
      <c r="B1333">
        <v>3</v>
      </c>
      <c r="C1333" t="s">
        <v>32</v>
      </c>
      <c r="D1333" t="s">
        <v>7</v>
      </c>
      <c r="E1333" s="8">
        <v>44766</v>
      </c>
      <c r="F1333">
        <v>114</v>
      </c>
    </row>
    <row r="1334" spans="1:6" x14ac:dyDescent="0.25">
      <c r="A1334" t="s">
        <v>51</v>
      </c>
      <c r="B1334">
        <v>3</v>
      </c>
      <c r="C1334" t="s">
        <v>32</v>
      </c>
      <c r="D1334" t="s">
        <v>7</v>
      </c>
      <c r="E1334" s="8">
        <v>44843</v>
      </c>
      <c r="F1334">
        <v>28</v>
      </c>
    </row>
    <row r="1335" spans="1:6" x14ac:dyDescent="0.25">
      <c r="A1335" t="s">
        <v>51</v>
      </c>
      <c r="B1335">
        <v>3</v>
      </c>
      <c r="C1335" t="s">
        <v>32</v>
      </c>
      <c r="D1335" t="s">
        <v>7</v>
      </c>
      <c r="E1335" s="8">
        <v>44844</v>
      </c>
      <c r="F1335">
        <v>83</v>
      </c>
    </row>
    <row r="1336" spans="1:6" x14ac:dyDescent="0.25">
      <c r="A1336" t="s">
        <v>51</v>
      </c>
      <c r="B1336">
        <v>3</v>
      </c>
      <c r="C1336" t="s">
        <v>32</v>
      </c>
      <c r="D1336" t="s">
        <v>7</v>
      </c>
      <c r="E1336" s="8">
        <v>44904</v>
      </c>
      <c r="F1336">
        <v>36</v>
      </c>
    </row>
    <row r="1337" spans="1:6" x14ac:dyDescent="0.25">
      <c r="A1337" t="s">
        <v>51</v>
      </c>
      <c r="B1337">
        <v>3</v>
      </c>
      <c r="C1337" t="s">
        <v>32</v>
      </c>
      <c r="D1337" t="s">
        <v>7</v>
      </c>
      <c r="E1337" s="8">
        <v>44905</v>
      </c>
      <c r="F1337">
        <v>26</v>
      </c>
    </row>
    <row r="1338" spans="1:6" x14ac:dyDescent="0.25">
      <c r="A1338" t="s">
        <v>51</v>
      </c>
      <c r="B1338">
        <v>3</v>
      </c>
      <c r="C1338" t="s">
        <v>33</v>
      </c>
      <c r="D1338" t="s">
        <v>7</v>
      </c>
      <c r="E1338" s="8">
        <v>44753</v>
      </c>
      <c r="F1338">
        <v>146</v>
      </c>
    </row>
    <row r="1339" spans="1:6" x14ac:dyDescent="0.25">
      <c r="A1339" t="s">
        <v>51</v>
      </c>
      <c r="B1339">
        <v>3</v>
      </c>
      <c r="C1339" t="s">
        <v>33</v>
      </c>
      <c r="D1339" t="s">
        <v>7</v>
      </c>
      <c r="E1339" s="8">
        <v>44758</v>
      </c>
      <c r="F1339">
        <v>83</v>
      </c>
    </row>
    <row r="1340" spans="1:6" x14ac:dyDescent="0.25">
      <c r="A1340" t="s">
        <v>51</v>
      </c>
      <c r="B1340">
        <v>3</v>
      </c>
      <c r="C1340" t="s">
        <v>33</v>
      </c>
      <c r="D1340" t="s">
        <v>7</v>
      </c>
      <c r="E1340" s="8">
        <v>44760</v>
      </c>
      <c r="F1340">
        <v>144</v>
      </c>
    </row>
    <row r="1341" spans="1:6" x14ac:dyDescent="0.25">
      <c r="A1341" t="s">
        <v>51</v>
      </c>
      <c r="B1341">
        <v>3</v>
      </c>
      <c r="C1341" t="s">
        <v>33</v>
      </c>
      <c r="D1341" t="s">
        <v>7</v>
      </c>
      <c r="E1341" s="8">
        <v>44761</v>
      </c>
      <c r="F1341">
        <v>101</v>
      </c>
    </row>
    <row r="1342" spans="1:6" x14ac:dyDescent="0.25">
      <c r="A1342" t="s">
        <v>51</v>
      </c>
      <c r="B1342">
        <v>3</v>
      </c>
      <c r="C1342" t="s">
        <v>33</v>
      </c>
      <c r="D1342" t="s">
        <v>7</v>
      </c>
      <c r="E1342" s="8">
        <v>44762</v>
      </c>
      <c r="F1342">
        <v>95</v>
      </c>
    </row>
    <row r="1343" spans="1:6" x14ac:dyDescent="0.25">
      <c r="A1343" t="s">
        <v>51</v>
      </c>
      <c r="B1343">
        <v>3</v>
      </c>
      <c r="C1343" t="s">
        <v>33</v>
      </c>
      <c r="D1343" t="s">
        <v>7</v>
      </c>
      <c r="E1343" s="8">
        <v>44763</v>
      </c>
      <c r="F1343">
        <v>70</v>
      </c>
    </row>
    <row r="1344" spans="1:6" x14ac:dyDescent="0.25">
      <c r="A1344" t="s">
        <v>51</v>
      </c>
      <c r="B1344">
        <v>3</v>
      </c>
      <c r="C1344" t="s">
        <v>33</v>
      </c>
      <c r="D1344" t="s">
        <v>7</v>
      </c>
      <c r="E1344" s="8">
        <v>44764</v>
      </c>
      <c r="F1344">
        <v>92</v>
      </c>
    </row>
    <row r="1345" spans="1:6" x14ac:dyDescent="0.25">
      <c r="A1345" t="s">
        <v>51</v>
      </c>
      <c r="B1345">
        <v>3</v>
      </c>
      <c r="C1345" t="s">
        <v>33</v>
      </c>
      <c r="D1345" t="s">
        <v>7</v>
      </c>
      <c r="E1345" s="8">
        <v>44793</v>
      </c>
      <c r="F1345">
        <v>46</v>
      </c>
    </row>
    <row r="1346" spans="1:6" x14ac:dyDescent="0.25">
      <c r="A1346" t="s">
        <v>51</v>
      </c>
      <c r="B1346">
        <v>3</v>
      </c>
      <c r="C1346" t="s">
        <v>33</v>
      </c>
      <c r="D1346" t="s">
        <v>7</v>
      </c>
      <c r="E1346" s="8">
        <v>44794</v>
      </c>
      <c r="F1346">
        <v>154</v>
      </c>
    </row>
    <row r="1347" spans="1:6" x14ac:dyDescent="0.25">
      <c r="A1347" t="s">
        <v>51</v>
      </c>
      <c r="B1347">
        <v>3</v>
      </c>
      <c r="C1347" t="s">
        <v>33</v>
      </c>
      <c r="D1347" t="s">
        <v>7</v>
      </c>
      <c r="E1347" s="8">
        <v>44795</v>
      </c>
      <c r="F1347">
        <v>130</v>
      </c>
    </row>
    <row r="1348" spans="1:6" x14ac:dyDescent="0.25">
      <c r="A1348" t="s">
        <v>51</v>
      </c>
      <c r="B1348">
        <v>3</v>
      </c>
      <c r="C1348" t="s">
        <v>33</v>
      </c>
      <c r="D1348" t="s">
        <v>7</v>
      </c>
      <c r="E1348" s="8">
        <v>44796</v>
      </c>
      <c r="F1348">
        <v>79</v>
      </c>
    </row>
    <row r="1349" spans="1:6" x14ac:dyDescent="0.25">
      <c r="A1349" t="s">
        <v>51</v>
      </c>
      <c r="B1349">
        <v>3</v>
      </c>
      <c r="C1349" t="s">
        <v>33</v>
      </c>
      <c r="D1349" t="s">
        <v>7</v>
      </c>
      <c r="E1349" s="8">
        <v>44810</v>
      </c>
      <c r="F1349">
        <v>72</v>
      </c>
    </row>
    <row r="1350" spans="1:6" x14ac:dyDescent="0.25">
      <c r="A1350" t="s">
        <v>51</v>
      </c>
      <c r="B1350">
        <v>3</v>
      </c>
      <c r="C1350" t="s">
        <v>33</v>
      </c>
      <c r="D1350" t="s">
        <v>7</v>
      </c>
      <c r="E1350" s="8">
        <v>44811</v>
      </c>
      <c r="F1350">
        <v>133</v>
      </c>
    </row>
    <row r="1351" spans="1:6" x14ac:dyDescent="0.25">
      <c r="A1351" t="s">
        <v>51</v>
      </c>
      <c r="B1351">
        <v>3</v>
      </c>
      <c r="C1351" t="s">
        <v>33</v>
      </c>
      <c r="D1351" t="s">
        <v>7</v>
      </c>
      <c r="E1351" s="8">
        <v>44812</v>
      </c>
      <c r="F1351">
        <v>56</v>
      </c>
    </row>
    <row r="1352" spans="1:6" x14ac:dyDescent="0.25">
      <c r="A1352" t="s">
        <v>51</v>
      </c>
      <c r="B1352">
        <v>3</v>
      </c>
      <c r="C1352" t="s">
        <v>33</v>
      </c>
      <c r="D1352" t="s">
        <v>7</v>
      </c>
      <c r="E1352" s="8">
        <v>44815</v>
      </c>
      <c r="F1352">
        <v>129</v>
      </c>
    </row>
    <row r="1353" spans="1:6" x14ac:dyDescent="0.25">
      <c r="A1353" t="s">
        <v>51</v>
      </c>
      <c r="B1353">
        <v>3</v>
      </c>
      <c r="C1353" t="s">
        <v>33</v>
      </c>
      <c r="D1353" t="s">
        <v>7</v>
      </c>
      <c r="E1353" s="8">
        <v>44816</v>
      </c>
      <c r="F1353">
        <v>81</v>
      </c>
    </row>
    <row r="1354" spans="1:6" x14ac:dyDescent="0.25">
      <c r="A1354" t="s">
        <v>51</v>
      </c>
      <c r="B1354">
        <v>3</v>
      </c>
      <c r="C1354" t="s">
        <v>33</v>
      </c>
      <c r="D1354" t="s">
        <v>7</v>
      </c>
      <c r="E1354" s="8">
        <v>44817</v>
      </c>
      <c r="F1354">
        <v>19</v>
      </c>
    </row>
    <row r="1355" spans="1:6" x14ac:dyDescent="0.25">
      <c r="A1355" t="s">
        <v>51</v>
      </c>
      <c r="B1355">
        <v>3</v>
      </c>
      <c r="C1355" t="s">
        <v>33</v>
      </c>
      <c r="D1355" t="s">
        <v>7</v>
      </c>
      <c r="E1355" s="8">
        <v>44818</v>
      </c>
      <c r="F1355">
        <v>8</v>
      </c>
    </row>
    <row r="1356" spans="1:6" x14ac:dyDescent="0.25">
      <c r="A1356" t="s">
        <v>51</v>
      </c>
      <c r="B1356">
        <v>3</v>
      </c>
      <c r="C1356" t="s">
        <v>33</v>
      </c>
      <c r="D1356" t="s">
        <v>7</v>
      </c>
      <c r="E1356" s="8">
        <v>44819</v>
      </c>
      <c r="F1356">
        <v>10</v>
      </c>
    </row>
    <row r="1357" spans="1:6" x14ac:dyDescent="0.25">
      <c r="A1357" t="s">
        <v>51</v>
      </c>
      <c r="B1357">
        <v>3</v>
      </c>
      <c r="C1357" t="s">
        <v>33</v>
      </c>
      <c r="D1357" t="s">
        <v>7</v>
      </c>
      <c r="E1357" s="8">
        <v>44820</v>
      </c>
      <c r="F1357">
        <v>135</v>
      </c>
    </row>
    <row r="1358" spans="1:6" x14ac:dyDescent="0.25">
      <c r="A1358" t="s">
        <v>51</v>
      </c>
      <c r="B1358">
        <v>3</v>
      </c>
      <c r="C1358" t="s">
        <v>33</v>
      </c>
      <c r="D1358" t="s">
        <v>7</v>
      </c>
      <c r="E1358" s="8">
        <v>44822</v>
      </c>
      <c r="F1358">
        <v>51</v>
      </c>
    </row>
    <row r="1359" spans="1:6" x14ac:dyDescent="0.25">
      <c r="A1359" t="s">
        <v>51</v>
      </c>
      <c r="B1359">
        <v>3</v>
      </c>
      <c r="C1359" t="s">
        <v>33</v>
      </c>
      <c r="D1359" t="s">
        <v>7</v>
      </c>
      <c r="E1359" s="8">
        <v>44823</v>
      </c>
      <c r="F1359">
        <v>79</v>
      </c>
    </row>
    <row r="1360" spans="1:6" x14ac:dyDescent="0.25">
      <c r="A1360" t="s">
        <v>51</v>
      </c>
      <c r="B1360">
        <v>3</v>
      </c>
      <c r="C1360" t="s">
        <v>33</v>
      </c>
      <c r="D1360" t="s">
        <v>7</v>
      </c>
      <c r="E1360" s="8">
        <v>44824</v>
      </c>
      <c r="F1360">
        <v>39</v>
      </c>
    </row>
    <row r="1361" spans="1:6" x14ac:dyDescent="0.25">
      <c r="A1361" t="s">
        <v>51</v>
      </c>
      <c r="B1361">
        <v>3</v>
      </c>
      <c r="C1361" t="s">
        <v>33</v>
      </c>
      <c r="D1361" t="s">
        <v>7</v>
      </c>
      <c r="E1361" s="8">
        <v>44825</v>
      </c>
      <c r="F1361">
        <v>79</v>
      </c>
    </row>
    <row r="1362" spans="1:6" x14ac:dyDescent="0.25">
      <c r="A1362" t="s">
        <v>51</v>
      </c>
      <c r="B1362">
        <v>3</v>
      </c>
      <c r="C1362" t="s">
        <v>33</v>
      </c>
      <c r="D1362" t="s">
        <v>7</v>
      </c>
      <c r="E1362" s="8">
        <v>44826</v>
      </c>
      <c r="F1362">
        <v>124</v>
      </c>
    </row>
    <row r="1363" spans="1:6" x14ac:dyDescent="0.25">
      <c r="A1363" t="s">
        <v>51</v>
      </c>
      <c r="B1363">
        <v>3</v>
      </c>
      <c r="C1363" t="s">
        <v>33</v>
      </c>
      <c r="D1363" t="s">
        <v>7</v>
      </c>
      <c r="E1363" s="8">
        <v>44827</v>
      </c>
      <c r="F1363">
        <v>4</v>
      </c>
    </row>
    <row r="1364" spans="1:6" x14ac:dyDescent="0.25">
      <c r="A1364" t="s">
        <v>51</v>
      </c>
      <c r="B1364">
        <v>3</v>
      </c>
      <c r="C1364" t="s">
        <v>33</v>
      </c>
      <c r="D1364" t="s">
        <v>7</v>
      </c>
      <c r="E1364" s="8">
        <v>44843</v>
      </c>
      <c r="F1364">
        <v>45</v>
      </c>
    </row>
    <row r="1365" spans="1:6" x14ac:dyDescent="0.25">
      <c r="A1365" t="s">
        <v>51</v>
      </c>
      <c r="B1365">
        <v>3</v>
      </c>
      <c r="C1365" t="s">
        <v>33</v>
      </c>
      <c r="D1365" t="s">
        <v>7</v>
      </c>
      <c r="E1365" s="8">
        <v>44861</v>
      </c>
      <c r="F1365">
        <v>100</v>
      </c>
    </row>
    <row r="1366" spans="1:6" x14ac:dyDescent="0.25">
      <c r="A1366" t="s">
        <v>51</v>
      </c>
      <c r="B1366">
        <v>3</v>
      </c>
      <c r="C1366" t="s">
        <v>33</v>
      </c>
      <c r="D1366" t="s">
        <v>7</v>
      </c>
      <c r="E1366" s="8">
        <v>44862</v>
      </c>
      <c r="F1366">
        <v>184</v>
      </c>
    </row>
    <row r="1367" spans="1:6" x14ac:dyDescent="0.25">
      <c r="A1367" t="s">
        <v>51</v>
      </c>
      <c r="B1367">
        <v>3</v>
      </c>
      <c r="C1367" t="s">
        <v>33</v>
      </c>
      <c r="D1367" t="s">
        <v>7</v>
      </c>
      <c r="E1367" s="8">
        <v>44863</v>
      </c>
      <c r="F1367">
        <v>261</v>
      </c>
    </row>
    <row r="1368" spans="1:6" x14ac:dyDescent="0.25">
      <c r="A1368" t="s">
        <v>51</v>
      </c>
      <c r="B1368">
        <v>3</v>
      </c>
      <c r="C1368" t="s">
        <v>33</v>
      </c>
      <c r="D1368" t="s">
        <v>7</v>
      </c>
      <c r="E1368" s="8">
        <v>44864</v>
      </c>
      <c r="F1368">
        <v>114</v>
      </c>
    </row>
    <row r="1369" spans="1:6" x14ac:dyDescent="0.25">
      <c r="A1369" t="s">
        <v>51</v>
      </c>
      <c r="B1369">
        <v>3</v>
      </c>
      <c r="C1369" t="s">
        <v>33</v>
      </c>
      <c r="D1369" t="s">
        <v>7</v>
      </c>
      <c r="E1369" s="8">
        <v>44865</v>
      </c>
      <c r="F1369">
        <v>173</v>
      </c>
    </row>
    <row r="1370" spans="1:6" x14ac:dyDescent="0.25">
      <c r="A1370" t="s">
        <v>51</v>
      </c>
      <c r="B1370">
        <v>3</v>
      </c>
      <c r="C1370" t="s">
        <v>33</v>
      </c>
      <c r="D1370" t="s">
        <v>7</v>
      </c>
      <c r="E1370" s="8">
        <v>44866</v>
      </c>
      <c r="F1370">
        <v>207</v>
      </c>
    </row>
    <row r="1371" spans="1:6" x14ac:dyDescent="0.25">
      <c r="A1371" t="s">
        <v>51</v>
      </c>
      <c r="B1371">
        <v>3</v>
      </c>
      <c r="C1371" t="s">
        <v>33</v>
      </c>
      <c r="D1371" t="s">
        <v>7</v>
      </c>
      <c r="E1371" s="8">
        <v>44867</v>
      </c>
      <c r="F1371">
        <v>145</v>
      </c>
    </row>
    <row r="1372" spans="1:6" x14ac:dyDescent="0.25">
      <c r="A1372" t="s">
        <v>51</v>
      </c>
      <c r="B1372">
        <v>3</v>
      </c>
      <c r="C1372" t="s">
        <v>33</v>
      </c>
      <c r="D1372" t="s">
        <v>7</v>
      </c>
      <c r="E1372" s="8">
        <v>44868</v>
      </c>
      <c r="F1372">
        <v>135</v>
      </c>
    </row>
    <row r="1373" spans="1:6" x14ac:dyDescent="0.25">
      <c r="A1373" t="s">
        <v>51</v>
      </c>
      <c r="B1373">
        <v>3</v>
      </c>
      <c r="C1373" t="s">
        <v>33</v>
      </c>
      <c r="D1373" t="s">
        <v>7</v>
      </c>
      <c r="E1373" s="8">
        <v>44869</v>
      </c>
      <c r="F1373">
        <v>26</v>
      </c>
    </row>
    <row r="1374" spans="1:6" x14ac:dyDescent="0.25">
      <c r="A1374" t="s">
        <v>51</v>
      </c>
      <c r="B1374">
        <v>3</v>
      </c>
      <c r="C1374" t="s">
        <v>33</v>
      </c>
      <c r="D1374" t="s">
        <v>7</v>
      </c>
      <c r="E1374" s="8">
        <v>44870</v>
      </c>
      <c r="F1374">
        <v>152</v>
      </c>
    </row>
    <row r="1375" spans="1:6" x14ac:dyDescent="0.25">
      <c r="A1375" t="s">
        <v>51</v>
      </c>
      <c r="B1375">
        <v>3</v>
      </c>
      <c r="C1375" t="s">
        <v>33</v>
      </c>
      <c r="D1375" t="s">
        <v>7</v>
      </c>
      <c r="E1375" s="8">
        <v>44871</v>
      </c>
      <c r="F1375">
        <v>256</v>
      </c>
    </row>
    <row r="1376" spans="1:6" x14ac:dyDescent="0.25">
      <c r="A1376" t="s">
        <v>51</v>
      </c>
      <c r="B1376">
        <v>3</v>
      </c>
      <c r="C1376" t="s">
        <v>33</v>
      </c>
      <c r="D1376" t="s">
        <v>7</v>
      </c>
      <c r="E1376" s="8">
        <v>44872</v>
      </c>
      <c r="F1376">
        <v>3</v>
      </c>
    </row>
    <row r="1377" spans="1:6" x14ac:dyDescent="0.25">
      <c r="A1377" t="s">
        <v>51</v>
      </c>
      <c r="B1377">
        <v>3</v>
      </c>
      <c r="C1377" t="s">
        <v>33</v>
      </c>
      <c r="D1377" t="s">
        <v>7</v>
      </c>
      <c r="E1377" s="8">
        <v>44876</v>
      </c>
      <c r="F1377">
        <v>52</v>
      </c>
    </row>
    <row r="1378" spans="1:6" x14ac:dyDescent="0.25">
      <c r="A1378" t="s">
        <v>51</v>
      </c>
      <c r="B1378">
        <v>3</v>
      </c>
      <c r="C1378" t="s">
        <v>33</v>
      </c>
      <c r="D1378" t="s">
        <v>7</v>
      </c>
      <c r="E1378" s="8">
        <v>44877</v>
      </c>
      <c r="F1378">
        <v>86</v>
      </c>
    </row>
    <row r="1379" spans="1:6" x14ac:dyDescent="0.25">
      <c r="A1379" t="s">
        <v>51</v>
      </c>
      <c r="B1379">
        <v>3</v>
      </c>
      <c r="C1379" t="s">
        <v>33</v>
      </c>
      <c r="D1379" t="s">
        <v>7</v>
      </c>
      <c r="E1379" s="8">
        <v>44878</v>
      </c>
      <c r="F1379">
        <v>199</v>
      </c>
    </row>
    <row r="1380" spans="1:6" x14ac:dyDescent="0.25">
      <c r="A1380" t="s">
        <v>51</v>
      </c>
      <c r="B1380">
        <v>3</v>
      </c>
      <c r="C1380" t="s">
        <v>33</v>
      </c>
      <c r="D1380" t="s">
        <v>7</v>
      </c>
      <c r="E1380" s="8">
        <v>44879</v>
      </c>
      <c r="F1380">
        <v>54</v>
      </c>
    </row>
    <row r="1381" spans="1:6" x14ac:dyDescent="0.25">
      <c r="A1381" t="s">
        <v>51</v>
      </c>
      <c r="B1381">
        <v>3</v>
      </c>
      <c r="C1381" t="s">
        <v>33</v>
      </c>
      <c r="D1381" t="s">
        <v>7</v>
      </c>
      <c r="E1381" s="8">
        <v>44880</v>
      </c>
      <c r="F1381">
        <v>121</v>
      </c>
    </row>
    <row r="1382" spans="1:6" x14ac:dyDescent="0.25">
      <c r="A1382" t="s">
        <v>51</v>
      </c>
      <c r="B1382">
        <v>3</v>
      </c>
      <c r="C1382" t="s">
        <v>33</v>
      </c>
      <c r="D1382" t="s">
        <v>7</v>
      </c>
      <c r="E1382" s="8">
        <v>44881</v>
      </c>
      <c r="F1382">
        <v>107</v>
      </c>
    </row>
    <row r="1383" spans="1:6" x14ac:dyDescent="0.25">
      <c r="A1383" t="s">
        <v>51</v>
      </c>
      <c r="B1383">
        <v>3</v>
      </c>
      <c r="C1383" t="s">
        <v>33</v>
      </c>
      <c r="D1383" t="s">
        <v>7</v>
      </c>
      <c r="E1383" s="8">
        <v>44882</v>
      </c>
      <c r="F1383">
        <v>62</v>
      </c>
    </row>
    <row r="1384" spans="1:6" x14ac:dyDescent="0.25">
      <c r="A1384" t="s">
        <v>51</v>
      </c>
      <c r="B1384">
        <v>3</v>
      </c>
      <c r="C1384" t="s">
        <v>33</v>
      </c>
      <c r="D1384" t="s">
        <v>7</v>
      </c>
      <c r="E1384" s="8">
        <v>44883</v>
      </c>
      <c r="F1384">
        <v>61</v>
      </c>
    </row>
    <row r="1385" spans="1:6" x14ac:dyDescent="0.25">
      <c r="A1385" t="s">
        <v>51</v>
      </c>
      <c r="B1385">
        <v>3</v>
      </c>
      <c r="C1385" t="s">
        <v>33</v>
      </c>
      <c r="D1385" t="s">
        <v>7</v>
      </c>
      <c r="E1385" s="8">
        <v>44894</v>
      </c>
      <c r="F1385">
        <v>155</v>
      </c>
    </row>
    <row r="1386" spans="1:6" x14ac:dyDescent="0.25">
      <c r="A1386" t="s">
        <v>51</v>
      </c>
      <c r="B1386">
        <v>3</v>
      </c>
      <c r="C1386" t="s">
        <v>33</v>
      </c>
      <c r="D1386" t="s">
        <v>7</v>
      </c>
      <c r="E1386" s="8">
        <v>44895</v>
      </c>
      <c r="F1386">
        <v>95</v>
      </c>
    </row>
    <row r="1387" spans="1:6" x14ac:dyDescent="0.25">
      <c r="A1387" t="s">
        <v>51</v>
      </c>
      <c r="B1387">
        <v>3</v>
      </c>
      <c r="C1387" t="s">
        <v>33</v>
      </c>
      <c r="D1387" t="s">
        <v>7</v>
      </c>
      <c r="E1387" s="8">
        <v>44903</v>
      </c>
      <c r="F1387">
        <v>67</v>
      </c>
    </row>
    <row r="1388" spans="1:6" x14ac:dyDescent="0.25">
      <c r="A1388" t="s">
        <v>51</v>
      </c>
      <c r="B1388">
        <v>3</v>
      </c>
      <c r="C1388" t="s">
        <v>33</v>
      </c>
      <c r="D1388" t="s">
        <v>7</v>
      </c>
      <c r="E1388" s="8">
        <v>44904</v>
      </c>
      <c r="F1388">
        <v>78</v>
      </c>
    </row>
    <row r="1389" spans="1:6" x14ac:dyDescent="0.25">
      <c r="A1389" t="s">
        <v>51</v>
      </c>
      <c r="B1389">
        <v>3</v>
      </c>
      <c r="C1389" t="s">
        <v>33</v>
      </c>
      <c r="D1389" t="s">
        <v>7</v>
      </c>
      <c r="E1389" s="8">
        <v>44906</v>
      </c>
      <c r="F1389">
        <v>110</v>
      </c>
    </row>
    <row r="1390" spans="1:6" x14ac:dyDescent="0.25">
      <c r="A1390" t="s">
        <v>51</v>
      </c>
      <c r="B1390">
        <v>3</v>
      </c>
      <c r="C1390" t="s">
        <v>33</v>
      </c>
      <c r="D1390" t="s">
        <v>7</v>
      </c>
      <c r="E1390" s="8">
        <v>44907</v>
      </c>
      <c r="F1390">
        <v>113</v>
      </c>
    </row>
    <row r="1391" spans="1:6" x14ac:dyDescent="0.25">
      <c r="A1391" t="s">
        <v>51</v>
      </c>
      <c r="B1391">
        <v>3</v>
      </c>
      <c r="C1391" t="s">
        <v>33</v>
      </c>
      <c r="D1391" t="s">
        <v>7</v>
      </c>
      <c r="E1391" s="8">
        <v>44908</v>
      </c>
      <c r="F1391">
        <v>69</v>
      </c>
    </row>
    <row r="1392" spans="1:6" x14ac:dyDescent="0.25">
      <c r="A1392" t="s">
        <v>51</v>
      </c>
      <c r="B1392">
        <v>3</v>
      </c>
      <c r="C1392" t="s">
        <v>33</v>
      </c>
      <c r="D1392" t="s">
        <v>7</v>
      </c>
      <c r="E1392" s="8">
        <v>44909</v>
      </c>
      <c r="F1392">
        <v>31</v>
      </c>
    </row>
    <row r="1393" spans="1:6" x14ac:dyDescent="0.25">
      <c r="A1393" t="s">
        <v>51</v>
      </c>
      <c r="B1393">
        <v>3</v>
      </c>
      <c r="C1393" t="s">
        <v>33</v>
      </c>
      <c r="D1393" t="s">
        <v>7</v>
      </c>
      <c r="E1393" s="8">
        <v>44910</v>
      </c>
      <c r="F1393">
        <v>9</v>
      </c>
    </row>
    <row r="1394" spans="1:6" x14ac:dyDescent="0.25">
      <c r="A1394" t="s">
        <v>51</v>
      </c>
      <c r="B1394">
        <v>3</v>
      </c>
      <c r="C1394" t="s">
        <v>33</v>
      </c>
      <c r="D1394" t="s">
        <v>7</v>
      </c>
      <c r="E1394" s="8">
        <v>44911</v>
      </c>
      <c r="F1394">
        <v>84</v>
      </c>
    </row>
    <row r="1395" spans="1:6" x14ac:dyDescent="0.25">
      <c r="A1395" t="s">
        <v>51</v>
      </c>
      <c r="B1395">
        <v>3</v>
      </c>
      <c r="C1395" t="s">
        <v>33</v>
      </c>
      <c r="D1395" t="s">
        <v>7</v>
      </c>
      <c r="E1395" s="8">
        <v>44912</v>
      </c>
      <c r="F1395">
        <v>76</v>
      </c>
    </row>
    <row r="1396" spans="1:6" x14ac:dyDescent="0.25">
      <c r="A1396" t="s">
        <v>51</v>
      </c>
      <c r="B1396">
        <v>3</v>
      </c>
      <c r="C1396" t="s">
        <v>33</v>
      </c>
      <c r="D1396" t="s">
        <v>7</v>
      </c>
      <c r="E1396" s="8">
        <v>44913</v>
      </c>
      <c r="F1396">
        <v>69</v>
      </c>
    </row>
    <row r="1397" spans="1:6" x14ac:dyDescent="0.25">
      <c r="A1397" t="s">
        <v>51</v>
      </c>
      <c r="B1397">
        <v>3</v>
      </c>
      <c r="C1397" t="s">
        <v>33</v>
      </c>
      <c r="D1397" t="s">
        <v>7</v>
      </c>
      <c r="E1397" s="8">
        <v>44944</v>
      </c>
      <c r="F1397">
        <v>117</v>
      </c>
    </row>
    <row r="1398" spans="1:6" x14ac:dyDescent="0.25">
      <c r="A1398" t="s">
        <v>51</v>
      </c>
      <c r="B1398">
        <v>3</v>
      </c>
      <c r="C1398" t="s">
        <v>33</v>
      </c>
      <c r="D1398" t="s">
        <v>7</v>
      </c>
      <c r="E1398" s="8">
        <v>44954</v>
      </c>
      <c r="F1398">
        <v>12</v>
      </c>
    </row>
    <row r="1399" spans="1:6" x14ac:dyDescent="0.25">
      <c r="A1399" t="s">
        <v>51</v>
      </c>
      <c r="B1399">
        <v>3</v>
      </c>
      <c r="C1399" t="s">
        <v>34</v>
      </c>
      <c r="D1399" t="s">
        <v>5</v>
      </c>
      <c r="E1399" s="8">
        <v>44749</v>
      </c>
      <c r="F1399">
        <v>5</v>
      </c>
    </row>
    <row r="1400" spans="1:6" x14ac:dyDescent="0.25">
      <c r="A1400" t="s">
        <v>51</v>
      </c>
      <c r="B1400">
        <v>3</v>
      </c>
      <c r="C1400" t="s">
        <v>34</v>
      </c>
      <c r="D1400" t="s">
        <v>5</v>
      </c>
      <c r="E1400" s="8">
        <v>44751</v>
      </c>
      <c r="F1400">
        <v>31</v>
      </c>
    </row>
    <row r="1401" spans="1:6" x14ac:dyDescent="0.25">
      <c r="A1401" t="s">
        <v>51</v>
      </c>
      <c r="B1401">
        <v>3</v>
      </c>
      <c r="C1401" t="s">
        <v>34</v>
      </c>
      <c r="D1401" t="s">
        <v>5</v>
      </c>
      <c r="E1401" s="8">
        <v>44753</v>
      </c>
      <c r="F1401">
        <v>106</v>
      </c>
    </row>
    <row r="1402" spans="1:6" x14ac:dyDescent="0.25">
      <c r="A1402" t="s">
        <v>51</v>
      </c>
      <c r="B1402">
        <v>3</v>
      </c>
      <c r="C1402" t="s">
        <v>34</v>
      </c>
      <c r="D1402" t="s">
        <v>5</v>
      </c>
      <c r="E1402" s="8">
        <v>44754</v>
      </c>
      <c r="F1402">
        <v>39</v>
      </c>
    </row>
    <row r="1403" spans="1:6" x14ac:dyDescent="0.25">
      <c r="A1403" t="s">
        <v>51</v>
      </c>
      <c r="B1403">
        <v>3</v>
      </c>
      <c r="C1403" t="s">
        <v>34</v>
      </c>
      <c r="D1403" t="s">
        <v>5</v>
      </c>
      <c r="E1403" s="8">
        <v>44755</v>
      </c>
      <c r="F1403">
        <v>65</v>
      </c>
    </row>
    <row r="1404" spans="1:6" x14ac:dyDescent="0.25">
      <c r="A1404" t="s">
        <v>51</v>
      </c>
      <c r="B1404">
        <v>3</v>
      </c>
      <c r="C1404" t="s">
        <v>34</v>
      </c>
      <c r="D1404" t="s">
        <v>5</v>
      </c>
      <c r="E1404" s="8">
        <v>44756</v>
      </c>
      <c r="F1404">
        <v>154</v>
      </c>
    </row>
    <row r="1405" spans="1:6" x14ac:dyDescent="0.25">
      <c r="A1405" t="s">
        <v>51</v>
      </c>
      <c r="B1405">
        <v>3</v>
      </c>
      <c r="C1405" t="s">
        <v>34</v>
      </c>
      <c r="D1405" t="s">
        <v>5</v>
      </c>
      <c r="E1405" s="8">
        <v>44757</v>
      </c>
      <c r="F1405">
        <v>87</v>
      </c>
    </row>
    <row r="1406" spans="1:6" x14ac:dyDescent="0.25">
      <c r="A1406" t="s">
        <v>51</v>
      </c>
      <c r="B1406">
        <v>3</v>
      </c>
      <c r="C1406" t="s">
        <v>34</v>
      </c>
      <c r="D1406" t="s">
        <v>5</v>
      </c>
      <c r="E1406" s="8">
        <v>44758</v>
      </c>
      <c r="F1406">
        <v>158</v>
      </c>
    </row>
    <row r="1407" spans="1:6" x14ac:dyDescent="0.25">
      <c r="A1407" t="s">
        <v>51</v>
      </c>
      <c r="B1407">
        <v>3</v>
      </c>
      <c r="C1407" t="s">
        <v>34</v>
      </c>
      <c r="D1407" t="s">
        <v>5</v>
      </c>
      <c r="E1407" s="8">
        <v>44760</v>
      </c>
      <c r="F1407">
        <v>139</v>
      </c>
    </row>
    <row r="1408" spans="1:6" x14ac:dyDescent="0.25">
      <c r="A1408" t="s">
        <v>51</v>
      </c>
      <c r="B1408">
        <v>3</v>
      </c>
      <c r="C1408" t="s">
        <v>34</v>
      </c>
      <c r="D1408" t="s">
        <v>5</v>
      </c>
      <c r="E1408" s="8">
        <v>44761</v>
      </c>
      <c r="F1408">
        <v>121</v>
      </c>
    </row>
    <row r="1409" spans="1:6" x14ac:dyDescent="0.25">
      <c r="A1409" t="s">
        <v>51</v>
      </c>
      <c r="B1409">
        <v>3</v>
      </c>
      <c r="C1409" t="s">
        <v>34</v>
      </c>
      <c r="D1409" t="s">
        <v>5</v>
      </c>
      <c r="E1409" s="8">
        <v>44762</v>
      </c>
      <c r="F1409">
        <v>222</v>
      </c>
    </row>
    <row r="1410" spans="1:6" x14ac:dyDescent="0.25">
      <c r="A1410" t="s">
        <v>51</v>
      </c>
      <c r="B1410">
        <v>3</v>
      </c>
      <c r="C1410" t="s">
        <v>34</v>
      </c>
      <c r="D1410" t="s">
        <v>5</v>
      </c>
      <c r="E1410" s="8">
        <v>44763</v>
      </c>
      <c r="F1410">
        <v>121</v>
      </c>
    </row>
    <row r="1411" spans="1:6" x14ac:dyDescent="0.25">
      <c r="A1411" t="s">
        <v>51</v>
      </c>
      <c r="B1411">
        <v>3</v>
      </c>
      <c r="C1411" t="s">
        <v>34</v>
      </c>
      <c r="D1411" t="s">
        <v>5</v>
      </c>
      <c r="E1411" s="8">
        <v>44764</v>
      </c>
      <c r="F1411">
        <v>193</v>
      </c>
    </row>
    <row r="1412" spans="1:6" x14ac:dyDescent="0.25">
      <c r="A1412" t="s">
        <v>51</v>
      </c>
      <c r="B1412">
        <v>3</v>
      </c>
      <c r="C1412" t="s">
        <v>34</v>
      </c>
      <c r="D1412" t="s">
        <v>5</v>
      </c>
      <c r="E1412" s="8">
        <v>44765</v>
      </c>
      <c r="F1412">
        <v>199</v>
      </c>
    </row>
    <row r="1413" spans="1:6" x14ac:dyDescent="0.25">
      <c r="A1413" t="s">
        <v>51</v>
      </c>
      <c r="B1413">
        <v>3</v>
      </c>
      <c r="C1413" t="s">
        <v>34</v>
      </c>
      <c r="D1413" t="s">
        <v>5</v>
      </c>
      <c r="E1413" s="8">
        <v>44766</v>
      </c>
      <c r="F1413">
        <v>86</v>
      </c>
    </row>
    <row r="1414" spans="1:6" x14ac:dyDescent="0.25">
      <c r="A1414" t="s">
        <v>51</v>
      </c>
      <c r="B1414">
        <v>3</v>
      </c>
      <c r="C1414" t="s">
        <v>34</v>
      </c>
      <c r="D1414" t="s">
        <v>5</v>
      </c>
      <c r="E1414" s="8">
        <v>44774</v>
      </c>
      <c r="F1414">
        <v>350</v>
      </c>
    </row>
    <row r="1415" spans="1:6" x14ac:dyDescent="0.25">
      <c r="A1415" t="s">
        <v>51</v>
      </c>
      <c r="B1415">
        <v>3</v>
      </c>
      <c r="C1415" t="s">
        <v>34</v>
      </c>
      <c r="D1415" t="s">
        <v>5</v>
      </c>
      <c r="E1415" s="8">
        <v>44775</v>
      </c>
      <c r="F1415">
        <v>249</v>
      </c>
    </row>
    <row r="1416" spans="1:6" x14ac:dyDescent="0.25">
      <c r="A1416" t="s">
        <v>51</v>
      </c>
      <c r="B1416">
        <v>3</v>
      </c>
      <c r="C1416" t="s">
        <v>34</v>
      </c>
      <c r="D1416" t="s">
        <v>5</v>
      </c>
      <c r="E1416" s="8">
        <v>44776</v>
      </c>
      <c r="F1416">
        <v>180</v>
      </c>
    </row>
    <row r="1417" spans="1:6" x14ac:dyDescent="0.25">
      <c r="A1417" t="s">
        <v>51</v>
      </c>
      <c r="B1417">
        <v>3</v>
      </c>
      <c r="C1417" t="s">
        <v>34</v>
      </c>
      <c r="D1417" t="s">
        <v>5</v>
      </c>
      <c r="E1417" s="8">
        <v>44777</v>
      </c>
      <c r="F1417">
        <v>121</v>
      </c>
    </row>
    <row r="1418" spans="1:6" x14ac:dyDescent="0.25">
      <c r="A1418" t="s">
        <v>51</v>
      </c>
      <c r="B1418">
        <v>3</v>
      </c>
      <c r="C1418" t="s">
        <v>34</v>
      </c>
      <c r="D1418" t="s">
        <v>5</v>
      </c>
      <c r="E1418" s="8">
        <v>44782</v>
      </c>
      <c r="F1418">
        <v>24</v>
      </c>
    </row>
    <row r="1419" spans="1:6" x14ac:dyDescent="0.25">
      <c r="A1419" t="s">
        <v>51</v>
      </c>
      <c r="B1419">
        <v>3</v>
      </c>
      <c r="C1419" t="s">
        <v>34</v>
      </c>
      <c r="D1419" t="s">
        <v>5</v>
      </c>
      <c r="E1419" s="8">
        <v>44783</v>
      </c>
      <c r="F1419">
        <v>56</v>
      </c>
    </row>
    <row r="1420" spans="1:6" x14ac:dyDescent="0.25">
      <c r="A1420" t="s">
        <v>51</v>
      </c>
      <c r="B1420">
        <v>3</v>
      </c>
      <c r="C1420" t="s">
        <v>34</v>
      </c>
      <c r="D1420" t="s">
        <v>5</v>
      </c>
      <c r="E1420" s="8">
        <v>44784</v>
      </c>
      <c r="F1420">
        <v>36</v>
      </c>
    </row>
    <row r="1421" spans="1:6" x14ac:dyDescent="0.25">
      <c r="A1421" t="s">
        <v>51</v>
      </c>
      <c r="B1421">
        <v>3</v>
      </c>
      <c r="C1421" t="s">
        <v>34</v>
      </c>
      <c r="D1421" t="s">
        <v>5</v>
      </c>
      <c r="E1421" s="8">
        <v>44785</v>
      </c>
      <c r="F1421">
        <v>73</v>
      </c>
    </row>
    <row r="1422" spans="1:6" x14ac:dyDescent="0.25">
      <c r="A1422" t="s">
        <v>51</v>
      </c>
      <c r="B1422">
        <v>3</v>
      </c>
      <c r="C1422" t="s">
        <v>34</v>
      </c>
      <c r="D1422" t="s">
        <v>5</v>
      </c>
      <c r="E1422" s="8">
        <v>44786</v>
      </c>
      <c r="F1422">
        <v>76</v>
      </c>
    </row>
    <row r="1423" spans="1:6" x14ac:dyDescent="0.25">
      <c r="A1423" t="s">
        <v>51</v>
      </c>
      <c r="B1423">
        <v>3</v>
      </c>
      <c r="C1423" t="s">
        <v>34</v>
      </c>
      <c r="D1423" t="s">
        <v>5</v>
      </c>
      <c r="E1423" s="8">
        <v>44792</v>
      </c>
      <c r="F1423">
        <v>11</v>
      </c>
    </row>
    <row r="1424" spans="1:6" x14ac:dyDescent="0.25">
      <c r="A1424" t="s">
        <v>51</v>
      </c>
      <c r="B1424">
        <v>3</v>
      </c>
      <c r="C1424" t="s">
        <v>34</v>
      </c>
      <c r="D1424" t="s">
        <v>5</v>
      </c>
      <c r="E1424" s="8">
        <v>44793</v>
      </c>
      <c r="F1424">
        <v>119</v>
      </c>
    </row>
    <row r="1425" spans="1:6" x14ac:dyDescent="0.25">
      <c r="A1425" t="s">
        <v>51</v>
      </c>
      <c r="B1425">
        <v>3</v>
      </c>
      <c r="C1425" t="s">
        <v>34</v>
      </c>
      <c r="D1425" t="s">
        <v>5</v>
      </c>
      <c r="E1425" s="8">
        <v>44794</v>
      </c>
      <c r="F1425">
        <v>195</v>
      </c>
    </row>
    <row r="1426" spans="1:6" x14ac:dyDescent="0.25">
      <c r="A1426" t="s">
        <v>51</v>
      </c>
      <c r="B1426">
        <v>3</v>
      </c>
      <c r="C1426" t="s">
        <v>34</v>
      </c>
      <c r="D1426" t="s">
        <v>5</v>
      </c>
      <c r="E1426" s="8">
        <v>44795</v>
      </c>
      <c r="F1426">
        <v>55</v>
      </c>
    </row>
    <row r="1427" spans="1:6" x14ac:dyDescent="0.25">
      <c r="A1427" t="s">
        <v>51</v>
      </c>
      <c r="B1427">
        <v>3</v>
      </c>
      <c r="C1427" t="s">
        <v>34</v>
      </c>
      <c r="D1427" t="s">
        <v>5</v>
      </c>
      <c r="E1427" s="8">
        <v>44796</v>
      </c>
      <c r="F1427">
        <v>37</v>
      </c>
    </row>
    <row r="1428" spans="1:6" x14ac:dyDescent="0.25">
      <c r="A1428" t="s">
        <v>51</v>
      </c>
      <c r="B1428">
        <v>3</v>
      </c>
      <c r="C1428" t="s">
        <v>34</v>
      </c>
      <c r="D1428" t="s">
        <v>5</v>
      </c>
      <c r="E1428" s="8">
        <v>44798</v>
      </c>
      <c r="F1428">
        <v>148</v>
      </c>
    </row>
    <row r="1429" spans="1:6" x14ac:dyDescent="0.25">
      <c r="A1429" t="s">
        <v>51</v>
      </c>
      <c r="B1429">
        <v>3</v>
      </c>
      <c r="C1429" t="s">
        <v>34</v>
      </c>
      <c r="D1429" t="s">
        <v>5</v>
      </c>
      <c r="E1429" s="8">
        <v>44799</v>
      </c>
      <c r="F1429">
        <v>132</v>
      </c>
    </row>
    <row r="1430" spans="1:6" x14ac:dyDescent="0.25">
      <c r="A1430" t="s">
        <v>51</v>
      </c>
      <c r="B1430">
        <v>3</v>
      </c>
      <c r="C1430" t="s">
        <v>34</v>
      </c>
      <c r="D1430" t="s">
        <v>5</v>
      </c>
      <c r="E1430" s="8">
        <v>44832</v>
      </c>
      <c r="F1430">
        <v>12</v>
      </c>
    </row>
    <row r="1431" spans="1:6" x14ac:dyDescent="0.25">
      <c r="A1431" t="s">
        <v>51</v>
      </c>
      <c r="B1431">
        <v>3</v>
      </c>
      <c r="C1431" t="s">
        <v>34</v>
      </c>
      <c r="D1431" t="s">
        <v>5</v>
      </c>
      <c r="E1431" s="8">
        <v>44838</v>
      </c>
      <c r="F1431">
        <v>14</v>
      </c>
    </row>
    <row r="1432" spans="1:6" x14ac:dyDescent="0.25">
      <c r="A1432" t="s">
        <v>51</v>
      </c>
      <c r="B1432">
        <v>3</v>
      </c>
      <c r="C1432" t="s">
        <v>34</v>
      </c>
      <c r="D1432" t="s">
        <v>5</v>
      </c>
      <c r="E1432" s="8">
        <v>44839</v>
      </c>
      <c r="F1432">
        <v>16</v>
      </c>
    </row>
    <row r="1433" spans="1:6" x14ac:dyDescent="0.25">
      <c r="A1433" t="s">
        <v>51</v>
      </c>
      <c r="B1433">
        <v>3</v>
      </c>
      <c r="C1433" t="s">
        <v>34</v>
      </c>
      <c r="D1433" t="s">
        <v>5</v>
      </c>
      <c r="E1433" s="8">
        <v>44881</v>
      </c>
      <c r="F1433">
        <v>132</v>
      </c>
    </row>
    <row r="1434" spans="1:6" x14ac:dyDescent="0.25">
      <c r="A1434" t="s">
        <v>51</v>
      </c>
      <c r="B1434">
        <v>3</v>
      </c>
      <c r="C1434" t="s">
        <v>34</v>
      </c>
      <c r="D1434" t="s">
        <v>5</v>
      </c>
      <c r="E1434" s="8">
        <v>44882</v>
      </c>
      <c r="F1434">
        <v>59</v>
      </c>
    </row>
    <row r="1435" spans="1:6" x14ac:dyDescent="0.25">
      <c r="A1435" t="s">
        <v>51</v>
      </c>
      <c r="B1435">
        <v>3</v>
      </c>
      <c r="C1435" t="s">
        <v>34</v>
      </c>
      <c r="D1435" t="s">
        <v>5</v>
      </c>
      <c r="E1435" s="8">
        <v>44883</v>
      </c>
      <c r="F1435">
        <v>192</v>
      </c>
    </row>
    <row r="1436" spans="1:6" x14ac:dyDescent="0.25">
      <c r="A1436" t="s">
        <v>51</v>
      </c>
      <c r="B1436">
        <v>3</v>
      </c>
      <c r="C1436" t="s">
        <v>34</v>
      </c>
      <c r="D1436" t="s">
        <v>5</v>
      </c>
      <c r="E1436" s="8">
        <v>44884</v>
      </c>
      <c r="F1436">
        <v>165</v>
      </c>
    </row>
    <row r="1437" spans="1:6" x14ac:dyDescent="0.25">
      <c r="A1437" t="s">
        <v>51</v>
      </c>
      <c r="B1437">
        <v>3</v>
      </c>
      <c r="C1437" t="s">
        <v>34</v>
      </c>
      <c r="D1437" t="s">
        <v>5</v>
      </c>
      <c r="E1437" s="8">
        <v>44885</v>
      </c>
      <c r="F1437">
        <v>175</v>
      </c>
    </row>
    <row r="1438" spans="1:6" x14ac:dyDescent="0.25">
      <c r="A1438" t="s">
        <v>51</v>
      </c>
      <c r="B1438">
        <v>3</v>
      </c>
      <c r="C1438" t="s">
        <v>34</v>
      </c>
      <c r="D1438" t="s">
        <v>5</v>
      </c>
      <c r="E1438" s="8">
        <v>44886</v>
      </c>
      <c r="F1438">
        <v>51</v>
      </c>
    </row>
    <row r="1439" spans="1:6" x14ac:dyDescent="0.25">
      <c r="A1439" t="s">
        <v>51</v>
      </c>
      <c r="B1439">
        <v>3</v>
      </c>
      <c r="C1439" t="s">
        <v>34</v>
      </c>
      <c r="D1439" t="s">
        <v>5</v>
      </c>
      <c r="E1439" s="8">
        <v>44932</v>
      </c>
      <c r="F1439">
        <v>33</v>
      </c>
    </row>
    <row r="1440" spans="1:6" x14ac:dyDescent="0.25">
      <c r="A1440" t="s">
        <v>51</v>
      </c>
      <c r="B1440">
        <v>3</v>
      </c>
      <c r="C1440" t="s">
        <v>35</v>
      </c>
      <c r="D1440" t="s">
        <v>7</v>
      </c>
      <c r="E1440" s="8">
        <v>44860</v>
      </c>
      <c r="F1440">
        <v>24</v>
      </c>
    </row>
    <row r="1441" spans="1:6" x14ac:dyDescent="0.25">
      <c r="A1441" t="s">
        <v>51</v>
      </c>
      <c r="B1441">
        <v>3</v>
      </c>
      <c r="C1441" t="s">
        <v>35</v>
      </c>
      <c r="D1441" t="s">
        <v>7</v>
      </c>
      <c r="E1441" s="8">
        <v>44864</v>
      </c>
      <c r="F1441">
        <v>22</v>
      </c>
    </row>
    <row r="1442" spans="1:6" x14ac:dyDescent="0.25">
      <c r="A1442" t="s">
        <v>51</v>
      </c>
      <c r="B1442">
        <v>3</v>
      </c>
      <c r="C1442" t="s">
        <v>35</v>
      </c>
      <c r="D1442" t="s">
        <v>7</v>
      </c>
      <c r="E1442" s="8">
        <v>44876</v>
      </c>
      <c r="F1442">
        <v>22</v>
      </c>
    </row>
    <row r="1443" spans="1:6" x14ac:dyDescent="0.25">
      <c r="A1443" t="s">
        <v>51</v>
      </c>
      <c r="B1443">
        <v>3</v>
      </c>
      <c r="C1443" t="s">
        <v>35</v>
      </c>
      <c r="D1443" t="s">
        <v>7</v>
      </c>
      <c r="E1443" s="8">
        <v>44877</v>
      </c>
      <c r="F1443">
        <v>54</v>
      </c>
    </row>
    <row r="1444" spans="1:6" x14ac:dyDescent="0.25">
      <c r="A1444" t="s">
        <v>51</v>
      </c>
      <c r="B1444">
        <v>3</v>
      </c>
      <c r="C1444" t="s">
        <v>35</v>
      </c>
      <c r="D1444" t="s">
        <v>7</v>
      </c>
      <c r="E1444" s="8">
        <v>44878</v>
      </c>
      <c r="F1444">
        <v>26</v>
      </c>
    </row>
    <row r="1445" spans="1:6" x14ac:dyDescent="0.25">
      <c r="A1445" t="s">
        <v>51</v>
      </c>
      <c r="B1445">
        <v>3</v>
      </c>
      <c r="C1445" t="s">
        <v>35</v>
      </c>
      <c r="D1445" t="s">
        <v>7</v>
      </c>
      <c r="E1445" s="8">
        <v>44904</v>
      </c>
      <c r="F1445">
        <v>68</v>
      </c>
    </row>
    <row r="1446" spans="1:6" x14ac:dyDescent="0.25">
      <c r="A1446" t="s">
        <v>51</v>
      </c>
      <c r="B1446">
        <v>3</v>
      </c>
      <c r="C1446" t="s">
        <v>35</v>
      </c>
      <c r="D1446" t="s">
        <v>7</v>
      </c>
      <c r="E1446" s="8">
        <v>44905</v>
      </c>
      <c r="F1446">
        <v>107</v>
      </c>
    </row>
    <row r="1447" spans="1:6" x14ac:dyDescent="0.25">
      <c r="A1447" t="s">
        <v>51</v>
      </c>
      <c r="B1447">
        <v>3</v>
      </c>
      <c r="C1447" t="s">
        <v>35</v>
      </c>
      <c r="D1447" t="s">
        <v>7</v>
      </c>
      <c r="E1447" s="8">
        <v>44943</v>
      </c>
      <c r="F1447">
        <v>42</v>
      </c>
    </row>
    <row r="1448" spans="1:6" x14ac:dyDescent="0.25">
      <c r="A1448" t="s">
        <v>51</v>
      </c>
      <c r="B1448">
        <v>3</v>
      </c>
      <c r="C1448" t="s">
        <v>36</v>
      </c>
      <c r="D1448" t="s">
        <v>5</v>
      </c>
      <c r="E1448" s="8">
        <v>44803</v>
      </c>
      <c r="F1448">
        <v>62</v>
      </c>
    </row>
    <row r="1449" spans="1:6" x14ac:dyDescent="0.25">
      <c r="A1449" t="s">
        <v>51</v>
      </c>
      <c r="B1449">
        <v>3</v>
      </c>
      <c r="C1449" t="s">
        <v>36</v>
      </c>
      <c r="D1449" t="s">
        <v>5</v>
      </c>
      <c r="E1449" s="8">
        <v>44842</v>
      </c>
      <c r="F1449">
        <v>34</v>
      </c>
    </row>
    <row r="1450" spans="1:6" x14ac:dyDescent="0.25">
      <c r="A1450" t="s">
        <v>51</v>
      </c>
      <c r="B1450">
        <v>3</v>
      </c>
      <c r="C1450" t="s">
        <v>36</v>
      </c>
      <c r="D1450" t="s">
        <v>5</v>
      </c>
      <c r="E1450" s="8">
        <v>44846</v>
      </c>
      <c r="F1450">
        <v>60</v>
      </c>
    </row>
    <row r="1451" spans="1:6" x14ac:dyDescent="0.25">
      <c r="A1451" t="s">
        <v>51</v>
      </c>
      <c r="B1451">
        <v>3</v>
      </c>
      <c r="C1451" t="s">
        <v>36</v>
      </c>
      <c r="D1451" t="s">
        <v>5</v>
      </c>
      <c r="E1451" s="8">
        <v>44847</v>
      </c>
      <c r="F1451">
        <v>112</v>
      </c>
    </row>
    <row r="1452" spans="1:6" x14ac:dyDescent="0.25">
      <c r="A1452" t="s">
        <v>51</v>
      </c>
      <c r="B1452">
        <v>3</v>
      </c>
      <c r="C1452" t="s">
        <v>36</v>
      </c>
      <c r="D1452" t="s">
        <v>5</v>
      </c>
      <c r="E1452" s="8">
        <v>44849</v>
      </c>
      <c r="F1452">
        <v>143</v>
      </c>
    </row>
    <row r="1453" spans="1:6" x14ac:dyDescent="0.25">
      <c r="A1453" t="s">
        <v>51</v>
      </c>
      <c r="B1453">
        <v>3</v>
      </c>
      <c r="C1453" t="s">
        <v>36</v>
      </c>
      <c r="D1453" t="s">
        <v>5</v>
      </c>
      <c r="E1453" s="8">
        <v>44850</v>
      </c>
      <c r="F1453">
        <v>171</v>
      </c>
    </row>
    <row r="1454" spans="1:6" x14ac:dyDescent="0.25">
      <c r="A1454" t="s">
        <v>51</v>
      </c>
      <c r="B1454">
        <v>3</v>
      </c>
      <c r="C1454" t="s">
        <v>36</v>
      </c>
      <c r="D1454" t="s">
        <v>5</v>
      </c>
      <c r="E1454" s="8">
        <v>44851</v>
      </c>
      <c r="F1454">
        <v>119</v>
      </c>
    </row>
    <row r="1455" spans="1:6" x14ac:dyDescent="0.25">
      <c r="A1455" t="s">
        <v>51</v>
      </c>
      <c r="B1455">
        <v>3</v>
      </c>
      <c r="C1455" t="s">
        <v>36</v>
      </c>
      <c r="D1455" t="s">
        <v>5</v>
      </c>
      <c r="E1455" s="8">
        <v>44852</v>
      </c>
      <c r="F1455">
        <v>20</v>
      </c>
    </row>
    <row r="1456" spans="1:6" x14ac:dyDescent="0.25">
      <c r="A1456" t="s">
        <v>51</v>
      </c>
      <c r="B1456">
        <v>3</v>
      </c>
      <c r="C1456" t="s">
        <v>36</v>
      </c>
      <c r="D1456" t="s">
        <v>5</v>
      </c>
      <c r="E1456" s="8">
        <v>44853</v>
      </c>
      <c r="F1456">
        <v>322</v>
      </c>
    </row>
    <row r="1457" spans="1:6" x14ac:dyDescent="0.25">
      <c r="A1457" t="s">
        <v>51</v>
      </c>
      <c r="B1457">
        <v>3</v>
      </c>
      <c r="C1457" t="s">
        <v>36</v>
      </c>
      <c r="D1457" t="s">
        <v>5</v>
      </c>
      <c r="E1457" s="8">
        <v>44854</v>
      </c>
      <c r="F1457">
        <v>174</v>
      </c>
    </row>
    <row r="1458" spans="1:6" x14ac:dyDescent="0.25">
      <c r="A1458" t="s">
        <v>51</v>
      </c>
      <c r="B1458">
        <v>3</v>
      </c>
      <c r="C1458" t="s">
        <v>36</v>
      </c>
      <c r="D1458" t="s">
        <v>5</v>
      </c>
      <c r="E1458" s="8">
        <v>44855</v>
      </c>
      <c r="F1458">
        <v>129</v>
      </c>
    </row>
    <row r="1459" spans="1:6" x14ac:dyDescent="0.25">
      <c r="A1459" t="s">
        <v>51</v>
      </c>
      <c r="B1459">
        <v>3</v>
      </c>
      <c r="C1459" t="s">
        <v>36</v>
      </c>
      <c r="D1459" t="s">
        <v>5</v>
      </c>
      <c r="E1459" s="8">
        <v>44856</v>
      </c>
      <c r="F1459">
        <v>251</v>
      </c>
    </row>
    <row r="1460" spans="1:6" x14ac:dyDescent="0.25">
      <c r="A1460" t="s">
        <v>51</v>
      </c>
      <c r="B1460">
        <v>3</v>
      </c>
      <c r="C1460" t="s">
        <v>36</v>
      </c>
      <c r="D1460" t="s">
        <v>5</v>
      </c>
      <c r="E1460" s="8">
        <v>44857</v>
      </c>
      <c r="F1460">
        <v>1</v>
      </c>
    </row>
    <row r="1461" spans="1:6" x14ac:dyDescent="0.25">
      <c r="A1461" t="s">
        <v>51</v>
      </c>
      <c r="B1461">
        <v>3</v>
      </c>
      <c r="C1461" t="s">
        <v>36</v>
      </c>
      <c r="D1461" t="s">
        <v>5</v>
      </c>
      <c r="E1461" s="8">
        <v>44858</v>
      </c>
      <c r="F1461">
        <v>312</v>
      </c>
    </row>
    <row r="1462" spans="1:6" x14ac:dyDescent="0.25">
      <c r="A1462" t="s">
        <v>51</v>
      </c>
      <c r="B1462">
        <v>3</v>
      </c>
      <c r="C1462" t="s">
        <v>36</v>
      </c>
      <c r="D1462" t="s">
        <v>5</v>
      </c>
      <c r="E1462" s="8">
        <v>44859</v>
      </c>
      <c r="F1462">
        <v>262</v>
      </c>
    </row>
    <row r="1463" spans="1:6" x14ac:dyDescent="0.25">
      <c r="A1463" t="s">
        <v>51</v>
      </c>
      <c r="B1463">
        <v>3</v>
      </c>
      <c r="C1463" t="s">
        <v>36</v>
      </c>
      <c r="D1463" t="s">
        <v>5</v>
      </c>
      <c r="E1463" s="8">
        <v>44861</v>
      </c>
      <c r="F1463">
        <v>122</v>
      </c>
    </row>
    <row r="1464" spans="1:6" x14ac:dyDescent="0.25">
      <c r="A1464" t="s">
        <v>51</v>
      </c>
      <c r="B1464">
        <v>3</v>
      </c>
      <c r="C1464" t="s">
        <v>36</v>
      </c>
      <c r="D1464" t="s">
        <v>5</v>
      </c>
      <c r="E1464" s="8">
        <v>44862</v>
      </c>
      <c r="F1464">
        <v>340</v>
      </c>
    </row>
    <row r="1465" spans="1:6" x14ac:dyDescent="0.25">
      <c r="A1465" t="s">
        <v>51</v>
      </c>
      <c r="B1465">
        <v>3</v>
      </c>
      <c r="C1465" t="s">
        <v>36</v>
      </c>
      <c r="D1465" t="s">
        <v>5</v>
      </c>
      <c r="E1465" s="8">
        <v>44863</v>
      </c>
      <c r="F1465">
        <v>126</v>
      </c>
    </row>
    <row r="1466" spans="1:6" x14ac:dyDescent="0.25">
      <c r="A1466" t="s">
        <v>51</v>
      </c>
      <c r="B1466">
        <v>3</v>
      </c>
      <c r="C1466" t="s">
        <v>36</v>
      </c>
      <c r="D1466" t="s">
        <v>5</v>
      </c>
      <c r="E1466" s="8">
        <v>44866</v>
      </c>
      <c r="F1466">
        <v>258</v>
      </c>
    </row>
    <row r="1467" spans="1:6" x14ac:dyDescent="0.25">
      <c r="A1467" t="s">
        <v>51</v>
      </c>
      <c r="B1467">
        <v>3</v>
      </c>
      <c r="C1467" t="s">
        <v>36</v>
      </c>
      <c r="D1467" t="s">
        <v>5</v>
      </c>
      <c r="E1467" s="8">
        <v>44867</v>
      </c>
      <c r="F1467">
        <v>129</v>
      </c>
    </row>
    <row r="1468" spans="1:6" x14ac:dyDescent="0.25">
      <c r="A1468" t="s">
        <v>51</v>
      </c>
      <c r="B1468">
        <v>3</v>
      </c>
      <c r="C1468" t="s">
        <v>36</v>
      </c>
      <c r="D1468" t="s">
        <v>5</v>
      </c>
      <c r="E1468" s="8">
        <v>44868</v>
      </c>
      <c r="F1468">
        <v>161</v>
      </c>
    </row>
    <row r="1469" spans="1:6" x14ac:dyDescent="0.25">
      <c r="A1469" t="s">
        <v>51</v>
      </c>
      <c r="B1469">
        <v>3</v>
      </c>
      <c r="C1469" t="s">
        <v>36</v>
      </c>
      <c r="D1469" t="s">
        <v>5</v>
      </c>
      <c r="E1469" s="8">
        <v>44869</v>
      </c>
      <c r="F1469">
        <v>292</v>
      </c>
    </row>
    <row r="1470" spans="1:6" x14ac:dyDescent="0.25">
      <c r="A1470" t="s">
        <v>51</v>
      </c>
      <c r="B1470">
        <v>3</v>
      </c>
      <c r="C1470" t="s">
        <v>36</v>
      </c>
      <c r="D1470" t="s">
        <v>5</v>
      </c>
      <c r="E1470" s="8">
        <v>44870</v>
      </c>
      <c r="F1470">
        <v>66</v>
      </c>
    </row>
    <row r="1471" spans="1:6" x14ac:dyDescent="0.25">
      <c r="A1471" t="s">
        <v>51</v>
      </c>
      <c r="B1471">
        <v>3</v>
      </c>
      <c r="C1471" t="s">
        <v>36</v>
      </c>
      <c r="D1471" t="s">
        <v>5</v>
      </c>
      <c r="E1471" s="8">
        <v>44878</v>
      </c>
      <c r="F1471">
        <v>10</v>
      </c>
    </row>
    <row r="1472" spans="1:6" x14ac:dyDescent="0.25">
      <c r="A1472" t="s">
        <v>51</v>
      </c>
      <c r="B1472">
        <v>3</v>
      </c>
      <c r="C1472" t="s">
        <v>36</v>
      </c>
      <c r="D1472" t="s">
        <v>5</v>
      </c>
      <c r="E1472" s="8">
        <v>44879</v>
      </c>
      <c r="F1472">
        <v>107</v>
      </c>
    </row>
    <row r="1473" spans="1:6" x14ac:dyDescent="0.25">
      <c r="A1473" t="s">
        <v>51</v>
      </c>
      <c r="B1473">
        <v>3</v>
      </c>
      <c r="C1473" t="s">
        <v>36</v>
      </c>
      <c r="D1473" t="s">
        <v>5</v>
      </c>
      <c r="E1473" s="8">
        <v>44880</v>
      </c>
      <c r="F1473">
        <v>177</v>
      </c>
    </row>
    <row r="1474" spans="1:6" x14ac:dyDescent="0.25">
      <c r="A1474" t="s">
        <v>51</v>
      </c>
      <c r="B1474">
        <v>3</v>
      </c>
      <c r="C1474" t="s">
        <v>36</v>
      </c>
      <c r="D1474" t="s">
        <v>5</v>
      </c>
      <c r="E1474" s="8">
        <v>44892</v>
      </c>
      <c r="F1474">
        <v>119</v>
      </c>
    </row>
    <row r="1475" spans="1:6" x14ac:dyDescent="0.25">
      <c r="A1475" t="s">
        <v>51</v>
      </c>
      <c r="B1475">
        <v>3</v>
      </c>
      <c r="C1475" t="s">
        <v>36</v>
      </c>
      <c r="D1475" t="s">
        <v>5</v>
      </c>
      <c r="E1475" s="8">
        <v>44893</v>
      </c>
      <c r="F1475">
        <v>149</v>
      </c>
    </row>
    <row r="1476" spans="1:6" x14ac:dyDescent="0.25">
      <c r="A1476" t="s">
        <v>51</v>
      </c>
      <c r="B1476">
        <v>3</v>
      </c>
      <c r="C1476" t="s">
        <v>36</v>
      </c>
      <c r="D1476" t="s">
        <v>5</v>
      </c>
      <c r="E1476" s="8">
        <v>44894</v>
      </c>
      <c r="F1476">
        <v>369</v>
      </c>
    </row>
    <row r="1477" spans="1:6" x14ac:dyDescent="0.25">
      <c r="A1477" t="s">
        <v>51</v>
      </c>
      <c r="B1477">
        <v>3</v>
      </c>
      <c r="C1477" t="s">
        <v>36</v>
      </c>
      <c r="D1477" t="s">
        <v>5</v>
      </c>
      <c r="E1477" s="8">
        <v>44896</v>
      </c>
      <c r="F1477">
        <v>221</v>
      </c>
    </row>
    <row r="1478" spans="1:6" x14ac:dyDescent="0.25">
      <c r="A1478" t="s">
        <v>51</v>
      </c>
      <c r="B1478">
        <v>3</v>
      </c>
      <c r="C1478" t="s">
        <v>36</v>
      </c>
      <c r="D1478" t="s">
        <v>5</v>
      </c>
      <c r="E1478" s="8">
        <v>44897</v>
      </c>
      <c r="F1478">
        <v>39</v>
      </c>
    </row>
    <row r="1479" spans="1:6" x14ac:dyDescent="0.25">
      <c r="A1479" t="s">
        <v>51</v>
      </c>
      <c r="B1479">
        <v>3</v>
      </c>
      <c r="C1479" t="s">
        <v>36</v>
      </c>
      <c r="D1479" t="s">
        <v>5</v>
      </c>
      <c r="E1479" s="8">
        <v>44899</v>
      </c>
      <c r="F1479">
        <v>18</v>
      </c>
    </row>
    <row r="1480" spans="1:6" x14ac:dyDescent="0.25">
      <c r="A1480" t="s">
        <v>51</v>
      </c>
      <c r="B1480">
        <v>3</v>
      </c>
      <c r="C1480" t="s">
        <v>37</v>
      </c>
      <c r="D1480" t="s">
        <v>5</v>
      </c>
      <c r="E1480" s="8">
        <v>44797</v>
      </c>
      <c r="F1480">
        <v>3</v>
      </c>
    </row>
    <row r="1481" spans="1:6" x14ac:dyDescent="0.25">
      <c r="A1481" t="s">
        <v>51</v>
      </c>
      <c r="B1481">
        <v>3</v>
      </c>
      <c r="C1481" t="s">
        <v>37</v>
      </c>
      <c r="D1481" t="s">
        <v>5</v>
      </c>
      <c r="E1481" s="8">
        <v>44800</v>
      </c>
      <c r="F1481">
        <v>96</v>
      </c>
    </row>
    <row r="1482" spans="1:6" x14ac:dyDescent="0.25">
      <c r="A1482" t="s">
        <v>51</v>
      </c>
      <c r="B1482">
        <v>3</v>
      </c>
      <c r="C1482" t="s">
        <v>37</v>
      </c>
      <c r="D1482" t="s">
        <v>5</v>
      </c>
      <c r="E1482" s="8">
        <v>44803</v>
      </c>
      <c r="F1482">
        <v>41</v>
      </c>
    </row>
    <row r="1483" spans="1:6" x14ac:dyDescent="0.25">
      <c r="A1483" t="s">
        <v>51</v>
      </c>
      <c r="B1483">
        <v>3</v>
      </c>
      <c r="C1483" t="s">
        <v>37</v>
      </c>
      <c r="D1483" t="s">
        <v>5</v>
      </c>
      <c r="E1483" s="8">
        <v>44833</v>
      </c>
      <c r="F1483">
        <v>37</v>
      </c>
    </row>
    <row r="1484" spans="1:6" x14ac:dyDescent="0.25">
      <c r="A1484" t="s">
        <v>51</v>
      </c>
      <c r="B1484">
        <v>3</v>
      </c>
      <c r="C1484" t="s">
        <v>37</v>
      </c>
      <c r="D1484" t="s">
        <v>5</v>
      </c>
      <c r="E1484" s="8">
        <v>44834</v>
      </c>
      <c r="F1484">
        <v>35</v>
      </c>
    </row>
    <row r="1485" spans="1:6" x14ac:dyDescent="0.25">
      <c r="A1485" t="s">
        <v>51</v>
      </c>
      <c r="B1485">
        <v>3</v>
      </c>
      <c r="C1485" t="s">
        <v>37</v>
      </c>
      <c r="D1485" t="s">
        <v>5</v>
      </c>
      <c r="E1485" s="8">
        <v>44835</v>
      </c>
      <c r="F1485">
        <v>61</v>
      </c>
    </row>
    <row r="1486" spans="1:6" x14ac:dyDescent="0.25">
      <c r="A1486" t="s">
        <v>51</v>
      </c>
      <c r="B1486">
        <v>3</v>
      </c>
      <c r="C1486" t="s">
        <v>37</v>
      </c>
      <c r="D1486" t="s">
        <v>5</v>
      </c>
      <c r="E1486" s="8">
        <v>44837</v>
      </c>
      <c r="F1486">
        <v>134</v>
      </c>
    </row>
    <row r="1487" spans="1:6" x14ac:dyDescent="0.25">
      <c r="A1487" t="s">
        <v>51</v>
      </c>
      <c r="B1487">
        <v>3</v>
      </c>
      <c r="C1487" t="s">
        <v>37</v>
      </c>
      <c r="D1487" t="s">
        <v>5</v>
      </c>
      <c r="E1487" s="8">
        <v>44838</v>
      </c>
      <c r="F1487">
        <v>18</v>
      </c>
    </row>
    <row r="1488" spans="1:6" x14ac:dyDescent="0.25">
      <c r="A1488" t="s">
        <v>51</v>
      </c>
      <c r="B1488">
        <v>3</v>
      </c>
      <c r="C1488" t="s">
        <v>37</v>
      </c>
      <c r="D1488" t="s">
        <v>5</v>
      </c>
      <c r="E1488" s="8">
        <v>44841</v>
      </c>
      <c r="F1488">
        <v>5</v>
      </c>
    </row>
    <row r="1489" spans="1:6" x14ac:dyDescent="0.25">
      <c r="A1489" t="s">
        <v>51</v>
      </c>
      <c r="B1489">
        <v>3</v>
      </c>
      <c r="C1489" t="s">
        <v>37</v>
      </c>
      <c r="D1489" t="s">
        <v>5</v>
      </c>
      <c r="E1489" s="8">
        <v>44842</v>
      </c>
      <c r="F1489">
        <v>36</v>
      </c>
    </row>
    <row r="1490" spans="1:6" x14ac:dyDescent="0.25">
      <c r="A1490" t="s">
        <v>51</v>
      </c>
      <c r="B1490">
        <v>3</v>
      </c>
      <c r="C1490" t="s">
        <v>37</v>
      </c>
      <c r="D1490" t="s">
        <v>5</v>
      </c>
      <c r="E1490" s="8">
        <v>44872</v>
      </c>
      <c r="F1490">
        <v>89</v>
      </c>
    </row>
    <row r="1491" spans="1:6" x14ac:dyDescent="0.25">
      <c r="A1491" t="s">
        <v>51</v>
      </c>
      <c r="B1491">
        <v>3</v>
      </c>
      <c r="C1491" t="s">
        <v>37</v>
      </c>
      <c r="D1491" t="s">
        <v>5</v>
      </c>
      <c r="E1491" s="8">
        <v>44873</v>
      </c>
      <c r="F1491">
        <v>147</v>
      </c>
    </row>
    <row r="1492" spans="1:6" x14ac:dyDescent="0.25">
      <c r="A1492" t="s">
        <v>51</v>
      </c>
      <c r="B1492">
        <v>3</v>
      </c>
      <c r="C1492" t="s">
        <v>37</v>
      </c>
      <c r="D1492" t="s">
        <v>5</v>
      </c>
      <c r="E1492" s="8">
        <v>44874</v>
      </c>
      <c r="F1492">
        <v>56</v>
      </c>
    </row>
    <row r="1493" spans="1:6" x14ac:dyDescent="0.25">
      <c r="A1493" t="s">
        <v>51</v>
      </c>
      <c r="B1493">
        <v>3</v>
      </c>
      <c r="C1493" t="s">
        <v>37</v>
      </c>
      <c r="D1493" t="s">
        <v>5</v>
      </c>
      <c r="E1493" s="8">
        <v>44875</v>
      </c>
      <c r="F1493">
        <v>388</v>
      </c>
    </row>
    <row r="1494" spans="1:6" x14ac:dyDescent="0.25">
      <c r="A1494" t="s">
        <v>51</v>
      </c>
      <c r="B1494">
        <v>3</v>
      </c>
      <c r="C1494" t="s">
        <v>37</v>
      </c>
      <c r="D1494" t="s">
        <v>5</v>
      </c>
      <c r="E1494" s="8">
        <v>44876</v>
      </c>
      <c r="F1494">
        <v>209</v>
      </c>
    </row>
    <row r="1495" spans="1:6" x14ac:dyDescent="0.25">
      <c r="A1495" t="s">
        <v>51</v>
      </c>
      <c r="B1495">
        <v>3</v>
      </c>
      <c r="C1495" t="s">
        <v>37</v>
      </c>
      <c r="D1495" t="s">
        <v>5</v>
      </c>
      <c r="E1495" s="8">
        <v>44877</v>
      </c>
      <c r="F1495">
        <v>192</v>
      </c>
    </row>
    <row r="1496" spans="1:6" x14ac:dyDescent="0.25">
      <c r="A1496" t="s">
        <v>51</v>
      </c>
      <c r="B1496">
        <v>3</v>
      </c>
      <c r="C1496" t="s">
        <v>37</v>
      </c>
      <c r="D1496" t="s">
        <v>5</v>
      </c>
      <c r="E1496" s="8">
        <v>44890</v>
      </c>
      <c r="F1496">
        <v>0</v>
      </c>
    </row>
    <row r="1497" spans="1:6" x14ac:dyDescent="0.25">
      <c r="A1497" t="s">
        <v>51</v>
      </c>
      <c r="B1497">
        <v>3</v>
      </c>
      <c r="C1497" t="s">
        <v>37</v>
      </c>
      <c r="D1497" t="s">
        <v>5</v>
      </c>
      <c r="E1497" s="8">
        <v>44900</v>
      </c>
      <c r="F1497">
        <v>16</v>
      </c>
    </row>
    <row r="1498" spans="1:6" x14ac:dyDescent="0.25">
      <c r="A1498" t="s">
        <v>51</v>
      </c>
      <c r="B1498">
        <v>3</v>
      </c>
      <c r="C1498" t="s">
        <v>37</v>
      </c>
      <c r="D1498" t="s">
        <v>7</v>
      </c>
      <c r="E1498" s="8">
        <v>44837</v>
      </c>
      <c r="F1498">
        <v>1</v>
      </c>
    </row>
    <row r="1499" spans="1:6" x14ac:dyDescent="0.25">
      <c r="A1499" t="s">
        <v>51</v>
      </c>
      <c r="B1499">
        <v>3</v>
      </c>
      <c r="C1499" t="s">
        <v>37</v>
      </c>
      <c r="D1499" t="s">
        <v>7</v>
      </c>
      <c r="E1499" s="8">
        <v>44841</v>
      </c>
      <c r="F1499">
        <v>10</v>
      </c>
    </row>
    <row r="1500" spans="1:6" x14ac:dyDescent="0.25">
      <c r="A1500" t="s">
        <v>51</v>
      </c>
      <c r="B1500">
        <v>3</v>
      </c>
      <c r="C1500" t="s">
        <v>38</v>
      </c>
      <c r="D1500" t="s">
        <v>7</v>
      </c>
      <c r="E1500" s="8">
        <v>44839</v>
      </c>
      <c r="F1500">
        <v>3</v>
      </c>
    </row>
    <row r="1501" spans="1:6" x14ac:dyDescent="0.25">
      <c r="A1501" t="s">
        <v>51</v>
      </c>
      <c r="B1501">
        <v>3</v>
      </c>
      <c r="C1501" t="s">
        <v>38</v>
      </c>
      <c r="D1501" t="s">
        <v>7</v>
      </c>
      <c r="E1501" s="8">
        <v>44840</v>
      </c>
      <c r="F1501">
        <v>12</v>
      </c>
    </row>
    <row r="1502" spans="1:6" x14ac:dyDescent="0.25">
      <c r="A1502" t="s">
        <v>51</v>
      </c>
      <c r="B1502">
        <v>3</v>
      </c>
      <c r="C1502" t="s">
        <v>38</v>
      </c>
      <c r="D1502" t="s">
        <v>7</v>
      </c>
      <c r="E1502" s="8">
        <v>44876</v>
      </c>
      <c r="F1502">
        <v>39</v>
      </c>
    </row>
    <row r="1503" spans="1:6" x14ac:dyDescent="0.25">
      <c r="A1503" t="s">
        <v>52</v>
      </c>
      <c r="B1503">
        <v>1</v>
      </c>
      <c r="C1503" t="s">
        <v>10</v>
      </c>
      <c r="D1503" t="s">
        <v>1</v>
      </c>
      <c r="E1503" s="8">
        <v>45147</v>
      </c>
      <c r="F1503">
        <v>92</v>
      </c>
    </row>
    <row r="1504" spans="1:6" x14ac:dyDescent="0.25">
      <c r="A1504" t="s">
        <v>52</v>
      </c>
      <c r="B1504">
        <v>1</v>
      </c>
      <c r="C1504" t="s">
        <v>10</v>
      </c>
      <c r="D1504" t="s">
        <v>1</v>
      </c>
      <c r="E1504" s="8">
        <v>45148</v>
      </c>
      <c r="F1504">
        <v>209</v>
      </c>
    </row>
    <row r="1505" spans="1:6" x14ac:dyDescent="0.25">
      <c r="A1505" t="s">
        <v>52</v>
      </c>
      <c r="B1505">
        <v>1</v>
      </c>
      <c r="C1505" t="s">
        <v>10</v>
      </c>
      <c r="D1505" t="s">
        <v>1</v>
      </c>
      <c r="E1505" s="8">
        <v>45149</v>
      </c>
      <c r="F1505">
        <v>110</v>
      </c>
    </row>
    <row r="1506" spans="1:6" x14ac:dyDescent="0.25">
      <c r="A1506" t="s">
        <v>52</v>
      </c>
      <c r="B1506">
        <v>1</v>
      </c>
      <c r="C1506" t="s">
        <v>10</v>
      </c>
      <c r="D1506" t="s">
        <v>1</v>
      </c>
      <c r="E1506" s="8">
        <v>45151</v>
      </c>
      <c r="F1506">
        <v>79</v>
      </c>
    </row>
    <row r="1507" spans="1:6" x14ac:dyDescent="0.25">
      <c r="A1507" t="s">
        <v>52</v>
      </c>
      <c r="B1507">
        <v>1</v>
      </c>
      <c r="C1507" t="s">
        <v>10</v>
      </c>
      <c r="D1507" t="s">
        <v>1</v>
      </c>
      <c r="E1507" s="8">
        <v>45152</v>
      </c>
      <c r="F1507">
        <v>71</v>
      </c>
    </row>
    <row r="1508" spans="1:6" x14ac:dyDescent="0.25">
      <c r="A1508" t="s">
        <v>52</v>
      </c>
      <c r="B1508">
        <v>1</v>
      </c>
      <c r="C1508" t="s">
        <v>10</v>
      </c>
      <c r="D1508" t="s">
        <v>1</v>
      </c>
      <c r="E1508" s="8">
        <v>45153</v>
      </c>
      <c r="F1508">
        <v>156</v>
      </c>
    </row>
    <row r="1509" spans="1:6" x14ac:dyDescent="0.25">
      <c r="A1509" t="s">
        <v>52</v>
      </c>
      <c r="B1509">
        <v>1</v>
      </c>
      <c r="C1509" t="s">
        <v>10</v>
      </c>
      <c r="D1509" t="s">
        <v>1</v>
      </c>
      <c r="E1509" s="8">
        <v>45154</v>
      </c>
      <c r="F1509">
        <v>242</v>
      </c>
    </row>
    <row r="1510" spans="1:6" x14ac:dyDescent="0.25">
      <c r="A1510" t="s">
        <v>52</v>
      </c>
      <c r="B1510">
        <v>1</v>
      </c>
      <c r="C1510" t="s">
        <v>10</v>
      </c>
      <c r="D1510" t="s">
        <v>1</v>
      </c>
      <c r="E1510" s="8">
        <v>45155</v>
      </c>
      <c r="F1510">
        <v>142</v>
      </c>
    </row>
    <row r="1511" spans="1:6" x14ac:dyDescent="0.25">
      <c r="A1511" t="s">
        <v>52</v>
      </c>
      <c r="B1511">
        <v>1</v>
      </c>
      <c r="C1511" t="s">
        <v>10</v>
      </c>
      <c r="D1511" t="s">
        <v>1</v>
      </c>
      <c r="E1511" s="8">
        <v>45156</v>
      </c>
      <c r="F1511">
        <v>96</v>
      </c>
    </row>
    <row r="1512" spans="1:6" x14ac:dyDescent="0.25">
      <c r="A1512" t="s">
        <v>52</v>
      </c>
      <c r="B1512">
        <v>1</v>
      </c>
      <c r="C1512" t="s">
        <v>11</v>
      </c>
      <c r="D1512" t="s">
        <v>1</v>
      </c>
      <c r="E1512" s="8">
        <v>45123</v>
      </c>
      <c r="F1512">
        <v>106</v>
      </c>
    </row>
    <row r="1513" spans="1:6" x14ac:dyDescent="0.25">
      <c r="A1513" t="s">
        <v>52</v>
      </c>
      <c r="B1513">
        <v>1</v>
      </c>
      <c r="C1513" t="s">
        <v>11</v>
      </c>
      <c r="D1513" t="s">
        <v>1</v>
      </c>
      <c r="E1513" s="8">
        <v>45124</v>
      </c>
      <c r="F1513">
        <v>148</v>
      </c>
    </row>
    <row r="1514" spans="1:6" x14ac:dyDescent="0.25">
      <c r="A1514" t="s">
        <v>52</v>
      </c>
      <c r="B1514">
        <v>1</v>
      </c>
      <c r="C1514" t="s">
        <v>11</v>
      </c>
      <c r="D1514" t="s">
        <v>1</v>
      </c>
      <c r="E1514" s="8">
        <v>45135</v>
      </c>
      <c r="F1514">
        <v>9</v>
      </c>
    </row>
    <row r="1515" spans="1:6" x14ac:dyDescent="0.25">
      <c r="A1515" t="s">
        <v>52</v>
      </c>
      <c r="B1515">
        <v>1</v>
      </c>
      <c r="C1515" t="s">
        <v>11</v>
      </c>
      <c r="D1515" t="s">
        <v>1</v>
      </c>
      <c r="E1515" s="8">
        <v>45136</v>
      </c>
      <c r="F1515">
        <v>169</v>
      </c>
    </row>
    <row r="1516" spans="1:6" x14ac:dyDescent="0.25">
      <c r="A1516" t="s">
        <v>52</v>
      </c>
      <c r="B1516">
        <v>1</v>
      </c>
      <c r="C1516" t="s">
        <v>11</v>
      </c>
      <c r="D1516" t="s">
        <v>1</v>
      </c>
      <c r="E1516" s="8">
        <v>45141</v>
      </c>
      <c r="F1516">
        <v>57</v>
      </c>
    </row>
    <row r="1517" spans="1:6" x14ac:dyDescent="0.25">
      <c r="A1517" t="s">
        <v>52</v>
      </c>
      <c r="B1517">
        <v>1</v>
      </c>
      <c r="C1517" t="s">
        <v>11</v>
      </c>
      <c r="D1517" t="s">
        <v>1</v>
      </c>
      <c r="E1517" s="8">
        <v>45142</v>
      </c>
      <c r="F1517">
        <v>61</v>
      </c>
    </row>
    <row r="1518" spans="1:6" x14ac:dyDescent="0.25">
      <c r="A1518" t="s">
        <v>52</v>
      </c>
      <c r="B1518">
        <v>1</v>
      </c>
      <c r="C1518" t="s">
        <v>11</v>
      </c>
      <c r="D1518" t="s">
        <v>1</v>
      </c>
      <c r="E1518" s="8">
        <v>45147</v>
      </c>
      <c r="F1518">
        <v>64</v>
      </c>
    </row>
    <row r="1519" spans="1:6" x14ac:dyDescent="0.25">
      <c r="A1519" t="s">
        <v>52</v>
      </c>
      <c r="B1519">
        <v>1</v>
      </c>
      <c r="C1519" t="s">
        <v>12</v>
      </c>
      <c r="D1519" t="s">
        <v>1</v>
      </c>
      <c r="E1519" s="8">
        <v>45086</v>
      </c>
      <c r="F1519">
        <v>167</v>
      </c>
    </row>
    <row r="1520" spans="1:6" x14ac:dyDescent="0.25">
      <c r="A1520" t="s">
        <v>52</v>
      </c>
      <c r="B1520">
        <v>1</v>
      </c>
      <c r="C1520" t="s">
        <v>12</v>
      </c>
      <c r="D1520" t="s">
        <v>1</v>
      </c>
      <c r="E1520" s="8">
        <v>45087</v>
      </c>
      <c r="F1520">
        <v>255</v>
      </c>
    </row>
    <row r="1521" spans="1:6" x14ac:dyDescent="0.25">
      <c r="A1521" t="s">
        <v>52</v>
      </c>
      <c r="B1521">
        <v>1</v>
      </c>
      <c r="C1521" t="s">
        <v>12</v>
      </c>
      <c r="D1521" t="s">
        <v>1</v>
      </c>
      <c r="E1521" s="8">
        <v>45088</v>
      </c>
      <c r="F1521">
        <v>52</v>
      </c>
    </row>
    <row r="1522" spans="1:6" x14ac:dyDescent="0.25">
      <c r="A1522" t="s">
        <v>52</v>
      </c>
      <c r="B1522">
        <v>1</v>
      </c>
      <c r="C1522" t="s">
        <v>13</v>
      </c>
      <c r="D1522" t="s">
        <v>0</v>
      </c>
      <c r="E1522" s="8">
        <v>45062</v>
      </c>
      <c r="F1522">
        <v>34</v>
      </c>
    </row>
    <row r="1523" spans="1:6" x14ac:dyDescent="0.25">
      <c r="A1523" t="s">
        <v>52</v>
      </c>
      <c r="B1523">
        <v>1</v>
      </c>
      <c r="C1523" t="s">
        <v>13</v>
      </c>
      <c r="D1523" t="s">
        <v>0</v>
      </c>
      <c r="E1523" s="8">
        <v>45065</v>
      </c>
      <c r="F1523">
        <v>65</v>
      </c>
    </row>
    <row r="1524" spans="1:6" x14ac:dyDescent="0.25">
      <c r="A1524" t="s">
        <v>52</v>
      </c>
      <c r="B1524">
        <v>1</v>
      </c>
      <c r="C1524" t="s">
        <v>13</v>
      </c>
      <c r="D1524" t="s">
        <v>0</v>
      </c>
      <c r="E1524" s="8">
        <v>45066</v>
      </c>
      <c r="F1524">
        <v>25</v>
      </c>
    </row>
    <row r="1525" spans="1:6" x14ac:dyDescent="0.25">
      <c r="A1525" t="s">
        <v>52</v>
      </c>
      <c r="B1525">
        <v>1</v>
      </c>
      <c r="C1525" t="s">
        <v>13</v>
      </c>
      <c r="D1525" t="s">
        <v>0</v>
      </c>
      <c r="E1525" s="8">
        <v>45068</v>
      </c>
      <c r="F1525">
        <v>49</v>
      </c>
    </row>
    <row r="1526" spans="1:6" x14ac:dyDescent="0.25">
      <c r="A1526" t="s">
        <v>52</v>
      </c>
      <c r="B1526">
        <v>1</v>
      </c>
      <c r="C1526" t="s">
        <v>13</v>
      </c>
      <c r="D1526" t="s">
        <v>1</v>
      </c>
      <c r="E1526" s="8">
        <v>45061</v>
      </c>
      <c r="F1526">
        <v>47</v>
      </c>
    </row>
    <row r="1527" spans="1:6" x14ac:dyDescent="0.25">
      <c r="A1527" t="s">
        <v>52</v>
      </c>
      <c r="B1527">
        <v>1</v>
      </c>
      <c r="C1527" t="s">
        <v>13</v>
      </c>
      <c r="D1527" t="s">
        <v>1</v>
      </c>
      <c r="E1527" s="8">
        <v>45062</v>
      </c>
      <c r="F1527">
        <v>17</v>
      </c>
    </row>
    <row r="1528" spans="1:6" x14ac:dyDescent="0.25">
      <c r="A1528" t="s">
        <v>52</v>
      </c>
      <c r="B1528">
        <v>1</v>
      </c>
      <c r="C1528" t="s">
        <v>13</v>
      </c>
      <c r="D1528" t="s">
        <v>1</v>
      </c>
      <c r="E1528" s="8">
        <v>45136</v>
      </c>
      <c r="F1528">
        <v>36</v>
      </c>
    </row>
    <row r="1529" spans="1:6" x14ac:dyDescent="0.25">
      <c r="A1529" t="s">
        <v>52</v>
      </c>
      <c r="B1529">
        <v>1</v>
      </c>
      <c r="C1529" t="s">
        <v>13</v>
      </c>
      <c r="D1529" t="s">
        <v>1</v>
      </c>
      <c r="E1529" s="8">
        <v>45137</v>
      </c>
      <c r="F1529">
        <v>5</v>
      </c>
    </row>
    <row r="1530" spans="1:6" x14ac:dyDescent="0.25">
      <c r="A1530" t="s">
        <v>52</v>
      </c>
      <c r="B1530">
        <v>1</v>
      </c>
      <c r="C1530" t="s">
        <v>13</v>
      </c>
      <c r="D1530" t="s">
        <v>1</v>
      </c>
      <c r="E1530" s="8">
        <v>45139</v>
      </c>
      <c r="F1530">
        <v>25</v>
      </c>
    </row>
    <row r="1531" spans="1:6" x14ac:dyDescent="0.25">
      <c r="A1531" t="s">
        <v>52</v>
      </c>
      <c r="B1531">
        <v>1</v>
      </c>
      <c r="C1531" t="s">
        <v>14</v>
      </c>
      <c r="D1531" t="s">
        <v>8</v>
      </c>
      <c r="E1531" s="8">
        <v>45062</v>
      </c>
      <c r="F1531">
        <v>0</v>
      </c>
    </row>
    <row r="1532" spans="1:6" x14ac:dyDescent="0.25">
      <c r="A1532" t="s">
        <v>52</v>
      </c>
      <c r="B1532">
        <v>1</v>
      </c>
      <c r="C1532" t="s">
        <v>14</v>
      </c>
      <c r="D1532" t="s">
        <v>0</v>
      </c>
      <c r="E1532" s="8">
        <v>45062</v>
      </c>
      <c r="F1532">
        <v>21</v>
      </c>
    </row>
    <row r="1533" spans="1:6" x14ac:dyDescent="0.25">
      <c r="A1533" t="s">
        <v>52</v>
      </c>
      <c r="B1533">
        <v>1</v>
      </c>
      <c r="C1533" t="s">
        <v>14</v>
      </c>
      <c r="D1533" t="s">
        <v>0</v>
      </c>
      <c r="E1533" s="8">
        <v>45063</v>
      </c>
      <c r="F1533">
        <v>137</v>
      </c>
    </row>
    <row r="1534" spans="1:6" x14ac:dyDescent="0.25">
      <c r="A1534" t="s">
        <v>52</v>
      </c>
      <c r="B1534">
        <v>1</v>
      </c>
      <c r="C1534" t="s">
        <v>14</v>
      </c>
      <c r="D1534" t="s">
        <v>0</v>
      </c>
      <c r="E1534" s="8">
        <v>45064</v>
      </c>
      <c r="F1534">
        <v>115</v>
      </c>
    </row>
    <row r="1535" spans="1:6" x14ac:dyDescent="0.25">
      <c r="A1535" t="s">
        <v>52</v>
      </c>
      <c r="B1535">
        <v>1</v>
      </c>
      <c r="C1535" t="s">
        <v>14</v>
      </c>
      <c r="D1535" t="s">
        <v>0</v>
      </c>
      <c r="E1535" s="8">
        <v>45066</v>
      </c>
      <c r="F1535">
        <v>34</v>
      </c>
    </row>
    <row r="1536" spans="1:6" x14ac:dyDescent="0.25">
      <c r="A1536" t="s">
        <v>52</v>
      </c>
      <c r="B1536">
        <v>1</v>
      </c>
      <c r="C1536" t="s">
        <v>14</v>
      </c>
      <c r="D1536" t="s">
        <v>0</v>
      </c>
      <c r="E1536" s="8">
        <v>45067</v>
      </c>
      <c r="F1536">
        <v>28</v>
      </c>
    </row>
    <row r="1537" spans="1:6" x14ac:dyDescent="0.25">
      <c r="A1537" t="s">
        <v>52</v>
      </c>
      <c r="B1537">
        <v>1</v>
      </c>
      <c r="C1537" t="s">
        <v>14</v>
      </c>
      <c r="D1537" t="s">
        <v>0</v>
      </c>
      <c r="E1537" s="8">
        <v>45068</v>
      </c>
      <c r="F1537">
        <v>29</v>
      </c>
    </row>
    <row r="1538" spans="1:6" x14ac:dyDescent="0.25">
      <c r="A1538" t="s">
        <v>52</v>
      </c>
      <c r="B1538">
        <v>1</v>
      </c>
      <c r="C1538" t="s">
        <v>14</v>
      </c>
      <c r="D1538" t="s">
        <v>0</v>
      </c>
      <c r="E1538" s="8">
        <v>45069</v>
      </c>
      <c r="F1538">
        <v>71</v>
      </c>
    </row>
    <row r="1539" spans="1:6" x14ac:dyDescent="0.25">
      <c r="A1539" t="s">
        <v>52</v>
      </c>
      <c r="B1539">
        <v>1</v>
      </c>
      <c r="C1539" t="s">
        <v>14</v>
      </c>
      <c r="D1539" t="s">
        <v>0</v>
      </c>
      <c r="E1539" s="8">
        <v>45070</v>
      </c>
      <c r="F1539">
        <v>136</v>
      </c>
    </row>
    <row r="1540" spans="1:6" x14ac:dyDescent="0.25">
      <c r="A1540" t="s">
        <v>52</v>
      </c>
      <c r="B1540">
        <v>1</v>
      </c>
      <c r="C1540" t="s">
        <v>14</v>
      </c>
      <c r="D1540" t="s">
        <v>0</v>
      </c>
      <c r="E1540" s="8">
        <v>45071</v>
      </c>
      <c r="F1540">
        <v>55</v>
      </c>
    </row>
    <row r="1541" spans="1:6" x14ac:dyDescent="0.25">
      <c r="A1541" t="s">
        <v>52</v>
      </c>
      <c r="B1541">
        <v>1</v>
      </c>
      <c r="C1541" t="s">
        <v>14</v>
      </c>
      <c r="D1541" t="s">
        <v>0</v>
      </c>
      <c r="E1541" s="8">
        <v>45072</v>
      </c>
      <c r="F1541">
        <v>174</v>
      </c>
    </row>
    <row r="1542" spans="1:6" x14ac:dyDescent="0.25">
      <c r="A1542" t="s">
        <v>52</v>
      </c>
      <c r="B1542">
        <v>1</v>
      </c>
      <c r="C1542" t="s">
        <v>14</v>
      </c>
      <c r="D1542" t="s">
        <v>0</v>
      </c>
      <c r="E1542" s="8">
        <v>45082</v>
      </c>
      <c r="F1542">
        <v>62</v>
      </c>
    </row>
    <row r="1543" spans="1:6" x14ac:dyDescent="0.25">
      <c r="A1543" t="s">
        <v>52</v>
      </c>
      <c r="B1543">
        <v>1</v>
      </c>
      <c r="C1543" t="s">
        <v>14</v>
      </c>
      <c r="D1543" t="s">
        <v>0</v>
      </c>
      <c r="E1543" s="8">
        <v>45127</v>
      </c>
      <c r="F1543">
        <v>23</v>
      </c>
    </row>
    <row r="1544" spans="1:6" x14ac:dyDescent="0.25">
      <c r="A1544" t="s">
        <v>52</v>
      </c>
      <c r="B1544">
        <v>1</v>
      </c>
      <c r="C1544" t="s">
        <v>14</v>
      </c>
      <c r="D1544" t="s">
        <v>0</v>
      </c>
      <c r="E1544" s="8">
        <v>45128</v>
      </c>
      <c r="F1544">
        <v>169</v>
      </c>
    </row>
    <row r="1545" spans="1:6" x14ac:dyDescent="0.25">
      <c r="A1545" t="s">
        <v>52</v>
      </c>
      <c r="B1545">
        <v>1</v>
      </c>
      <c r="C1545" t="s">
        <v>14</v>
      </c>
      <c r="D1545" t="s">
        <v>0</v>
      </c>
      <c r="E1545" s="8">
        <v>45129</v>
      </c>
      <c r="F1545">
        <v>178</v>
      </c>
    </row>
    <row r="1546" spans="1:6" x14ac:dyDescent="0.25">
      <c r="A1546" t="s">
        <v>52</v>
      </c>
      <c r="B1546">
        <v>1</v>
      </c>
      <c r="C1546" t="s">
        <v>14</v>
      </c>
      <c r="D1546" t="s">
        <v>0</v>
      </c>
      <c r="E1546" s="8">
        <v>45130</v>
      </c>
      <c r="F1546">
        <v>234</v>
      </c>
    </row>
    <row r="1547" spans="1:6" x14ac:dyDescent="0.25">
      <c r="A1547" t="s">
        <v>52</v>
      </c>
      <c r="B1547">
        <v>1</v>
      </c>
      <c r="C1547" t="s">
        <v>14</v>
      </c>
      <c r="D1547" t="s">
        <v>0</v>
      </c>
      <c r="E1547" s="8">
        <v>45131</v>
      </c>
      <c r="F1547">
        <v>127</v>
      </c>
    </row>
    <row r="1548" spans="1:6" x14ac:dyDescent="0.25">
      <c r="A1548" t="s">
        <v>52</v>
      </c>
      <c r="B1548">
        <v>1</v>
      </c>
      <c r="C1548" t="s">
        <v>14</v>
      </c>
      <c r="D1548" t="s">
        <v>0</v>
      </c>
      <c r="E1548" s="8">
        <v>45132</v>
      </c>
      <c r="F1548">
        <v>15</v>
      </c>
    </row>
    <row r="1549" spans="1:6" x14ac:dyDescent="0.25">
      <c r="A1549" t="s">
        <v>52</v>
      </c>
      <c r="B1549">
        <v>1</v>
      </c>
      <c r="C1549" t="s">
        <v>14</v>
      </c>
      <c r="D1549" t="s">
        <v>0</v>
      </c>
      <c r="E1549" s="8">
        <v>45140</v>
      </c>
      <c r="F1549">
        <v>3</v>
      </c>
    </row>
    <row r="1550" spans="1:6" x14ac:dyDescent="0.25">
      <c r="A1550" t="s">
        <v>52</v>
      </c>
      <c r="B1550">
        <v>1</v>
      </c>
      <c r="C1550" t="s">
        <v>14</v>
      </c>
      <c r="D1550" t="s">
        <v>0</v>
      </c>
      <c r="E1550" s="8">
        <v>45141</v>
      </c>
      <c r="F1550">
        <v>174</v>
      </c>
    </row>
    <row r="1551" spans="1:6" x14ac:dyDescent="0.25">
      <c r="A1551" t="s">
        <v>52</v>
      </c>
      <c r="B1551">
        <v>1</v>
      </c>
      <c r="C1551" t="s">
        <v>14</v>
      </c>
      <c r="D1551" t="s">
        <v>0</v>
      </c>
      <c r="E1551" s="8">
        <v>45142</v>
      </c>
      <c r="F1551">
        <v>55</v>
      </c>
    </row>
    <row r="1552" spans="1:6" x14ac:dyDescent="0.25">
      <c r="A1552" t="s">
        <v>52</v>
      </c>
      <c r="B1552">
        <v>1</v>
      </c>
      <c r="C1552" t="s">
        <v>14</v>
      </c>
      <c r="D1552" t="s">
        <v>0</v>
      </c>
      <c r="E1552" s="8">
        <v>45146</v>
      </c>
      <c r="F1552">
        <v>6</v>
      </c>
    </row>
    <row r="1553" spans="1:6" x14ac:dyDescent="0.25">
      <c r="A1553" t="s">
        <v>52</v>
      </c>
      <c r="B1553">
        <v>1</v>
      </c>
      <c r="C1553" t="s">
        <v>14</v>
      </c>
      <c r="D1553" t="s">
        <v>0</v>
      </c>
      <c r="E1553" s="8">
        <v>45197</v>
      </c>
      <c r="F1553">
        <v>122</v>
      </c>
    </row>
    <row r="1554" spans="1:6" x14ac:dyDescent="0.25">
      <c r="A1554" t="s">
        <v>52</v>
      </c>
      <c r="B1554">
        <v>1</v>
      </c>
      <c r="C1554" t="s">
        <v>14</v>
      </c>
      <c r="D1554" t="s">
        <v>0</v>
      </c>
      <c r="E1554" s="8">
        <v>45198</v>
      </c>
      <c r="F1554">
        <v>142</v>
      </c>
    </row>
    <row r="1555" spans="1:6" x14ac:dyDescent="0.25">
      <c r="A1555" t="s">
        <v>52</v>
      </c>
      <c r="B1555">
        <v>1</v>
      </c>
      <c r="C1555" t="s">
        <v>14</v>
      </c>
      <c r="D1555" t="s">
        <v>1</v>
      </c>
      <c r="E1555" s="8">
        <v>45062</v>
      </c>
      <c r="F1555">
        <v>122</v>
      </c>
    </row>
    <row r="1556" spans="1:6" x14ac:dyDescent="0.25">
      <c r="A1556" t="s">
        <v>52</v>
      </c>
      <c r="B1556">
        <v>1</v>
      </c>
      <c r="C1556" t="s">
        <v>14</v>
      </c>
      <c r="D1556" t="s">
        <v>1</v>
      </c>
      <c r="E1556" s="8">
        <v>45063</v>
      </c>
      <c r="F1556">
        <v>50</v>
      </c>
    </row>
    <row r="1557" spans="1:6" x14ac:dyDescent="0.25">
      <c r="A1557" t="s">
        <v>52</v>
      </c>
      <c r="B1557">
        <v>1</v>
      </c>
      <c r="C1557" t="s">
        <v>14</v>
      </c>
      <c r="D1557" t="s">
        <v>1</v>
      </c>
      <c r="E1557" s="8">
        <v>45132</v>
      </c>
      <c r="F1557">
        <v>114</v>
      </c>
    </row>
    <row r="1558" spans="1:6" x14ac:dyDescent="0.25">
      <c r="A1558" t="s">
        <v>52</v>
      </c>
      <c r="B1558">
        <v>1</v>
      </c>
      <c r="C1558" t="s">
        <v>14</v>
      </c>
      <c r="D1558" t="s">
        <v>1</v>
      </c>
      <c r="E1558" s="8">
        <v>45133</v>
      </c>
      <c r="F1558">
        <v>189</v>
      </c>
    </row>
    <row r="1559" spans="1:6" x14ac:dyDescent="0.25">
      <c r="A1559" t="s">
        <v>52</v>
      </c>
      <c r="B1559">
        <v>1</v>
      </c>
      <c r="C1559" t="s">
        <v>14</v>
      </c>
      <c r="D1559" t="s">
        <v>1</v>
      </c>
      <c r="E1559" s="8">
        <v>45134</v>
      </c>
      <c r="F1559">
        <v>155</v>
      </c>
    </row>
    <row r="1560" spans="1:6" x14ac:dyDescent="0.25">
      <c r="A1560" t="s">
        <v>52</v>
      </c>
      <c r="B1560">
        <v>1</v>
      </c>
      <c r="C1560" t="s">
        <v>14</v>
      </c>
      <c r="D1560" t="s">
        <v>1</v>
      </c>
      <c r="E1560" s="8">
        <v>45135</v>
      </c>
      <c r="F1560">
        <v>174</v>
      </c>
    </row>
    <row r="1561" spans="1:6" x14ac:dyDescent="0.25">
      <c r="A1561" t="s">
        <v>52</v>
      </c>
      <c r="B1561">
        <v>1</v>
      </c>
      <c r="C1561" t="s">
        <v>14</v>
      </c>
      <c r="D1561" t="s">
        <v>1</v>
      </c>
      <c r="E1561" s="8">
        <v>45136</v>
      </c>
      <c r="F1561">
        <v>66</v>
      </c>
    </row>
    <row r="1562" spans="1:6" x14ac:dyDescent="0.25">
      <c r="A1562" t="s">
        <v>52</v>
      </c>
      <c r="B1562">
        <v>1</v>
      </c>
      <c r="C1562" t="s">
        <v>14</v>
      </c>
      <c r="D1562" t="s">
        <v>1</v>
      </c>
      <c r="E1562" s="8">
        <v>45137</v>
      </c>
      <c r="F1562">
        <v>77</v>
      </c>
    </row>
    <row r="1563" spans="1:6" x14ac:dyDescent="0.25">
      <c r="A1563" t="s">
        <v>52</v>
      </c>
      <c r="B1563">
        <v>1</v>
      </c>
      <c r="C1563" t="s">
        <v>14</v>
      </c>
      <c r="D1563" t="s">
        <v>1</v>
      </c>
      <c r="E1563" s="8">
        <v>45138</v>
      </c>
      <c r="F1563">
        <v>59</v>
      </c>
    </row>
    <row r="1564" spans="1:6" x14ac:dyDescent="0.25">
      <c r="A1564" t="s">
        <v>52</v>
      </c>
      <c r="B1564">
        <v>1</v>
      </c>
      <c r="C1564" t="s">
        <v>14</v>
      </c>
      <c r="D1564" t="s">
        <v>1</v>
      </c>
      <c r="E1564" s="8">
        <v>45139</v>
      </c>
      <c r="F1564">
        <v>53</v>
      </c>
    </row>
    <row r="1565" spans="1:6" x14ac:dyDescent="0.25">
      <c r="A1565" t="s">
        <v>52</v>
      </c>
      <c r="B1565">
        <v>1</v>
      </c>
      <c r="C1565" t="s">
        <v>14</v>
      </c>
      <c r="D1565" t="s">
        <v>1</v>
      </c>
      <c r="E1565" s="8">
        <v>45142</v>
      </c>
      <c r="F1565">
        <v>0</v>
      </c>
    </row>
    <row r="1566" spans="1:6" x14ac:dyDescent="0.25">
      <c r="A1566" t="s">
        <v>52</v>
      </c>
      <c r="B1566">
        <v>1</v>
      </c>
      <c r="C1566" t="s">
        <v>14</v>
      </c>
      <c r="D1566" t="s">
        <v>1</v>
      </c>
      <c r="E1566" s="8">
        <v>45198</v>
      </c>
      <c r="F1566">
        <v>0</v>
      </c>
    </row>
    <row r="1567" spans="1:6" x14ac:dyDescent="0.25">
      <c r="A1567" t="s">
        <v>52</v>
      </c>
      <c r="B1567">
        <v>1</v>
      </c>
      <c r="C1567" t="s">
        <v>15</v>
      </c>
      <c r="D1567" t="s">
        <v>0</v>
      </c>
      <c r="E1567" s="8">
        <v>45079</v>
      </c>
      <c r="F1567">
        <v>205</v>
      </c>
    </row>
    <row r="1568" spans="1:6" x14ac:dyDescent="0.25">
      <c r="A1568" t="s">
        <v>52</v>
      </c>
      <c r="B1568">
        <v>1</v>
      </c>
      <c r="C1568" t="s">
        <v>15</v>
      </c>
      <c r="D1568" t="s">
        <v>0</v>
      </c>
      <c r="E1568" s="8">
        <v>45086</v>
      </c>
      <c r="F1568">
        <v>86</v>
      </c>
    </row>
    <row r="1569" spans="1:6" x14ac:dyDescent="0.25">
      <c r="A1569" t="s">
        <v>52</v>
      </c>
      <c r="B1569">
        <v>1</v>
      </c>
      <c r="C1569" t="s">
        <v>15</v>
      </c>
      <c r="D1569" t="s">
        <v>0</v>
      </c>
      <c r="E1569" s="8">
        <v>45087</v>
      </c>
      <c r="F1569">
        <v>52</v>
      </c>
    </row>
    <row r="1570" spans="1:6" x14ac:dyDescent="0.25">
      <c r="A1570" t="s">
        <v>52</v>
      </c>
      <c r="B1570">
        <v>1</v>
      </c>
      <c r="C1570" t="s">
        <v>15</v>
      </c>
      <c r="D1570" t="s">
        <v>0</v>
      </c>
      <c r="E1570" s="8">
        <v>45088</v>
      </c>
      <c r="F1570">
        <v>105</v>
      </c>
    </row>
    <row r="1571" spans="1:6" x14ac:dyDescent="0.25">
      <c r="A1571" t="s">
        <v>52</v>
      </c>
      <c r="B1571">
        <v>1</v>
      </c>
      <c r="C1571" t="s">
        <v>15</v>
      </c>
      <c r="D1571" t="s">
        <v>0</v>
      </c>
      <c r="E1571" s="8">
        <v>45089</v>
      </c>
      <c r="F1571">
        <v>55</v>
      </c>
    </row>
    <row r="1572" spans="1:6" x14ac:dyDescent="0.25">
      <c r="A1572" t="s">
        <v>52</v>
      </c>
      <c r="B1572">
        <v>1</v>
      </c>
      <c r="C1572" t="s">
        <v>15</v>
      </c>
      <c r="D1572" t="s">
        <v>0</v>
      </c>
      <c r="E1572" s="8">
        <v>45101</v>
      </c>
      <c r="F1572">
        <v>169</v>
      </c>
    </row>
    <row r="1573" spans="1:6" x14ac:dyDescent="0.25">
      <c r="A1573" t="s">
        <v>52</v>
      </c>
      <c r="B1573">
        <v>1</v>
      </c>
      <c r="C1573" t="s">
        <v>15</v>
      </c>
      <c r="D1573" t="s">
        <v>0</v>
      </c>
      <c r="E1573" s="8">
        <v>45102</v>
      </c>
      <c r="F1573">
        <v>187</v>
      </c>
    </row>
    <row r="1574" spans="1:6" x14ac:dyDescent="0.25">
      <c r="A1574" t="s">
        <v>52</v>
      </c>
      <c r="B1574">
        <v>1</v>
      </c>
      <c r="C1574" t="s">
        <v>15</v>
      </c>
      <c r="D1574" t="s">
        <v>0</v>
      </c>
      <c r="E1574" s="8">
        <v>45103</v>
      </c>
      <c r="F1574">
        <v>104</v>
      </c>
    </row>
    <row r="1575" spans="1:6" x14ac:dyDescent="0.25">
      <c r="A1575" t="s">
        <v>52</v>
      </c>
      <c r="B1575">
        <v>1</v>
      </c>
      <c r="C1575" t="s">
        <v>15</v>
      </c>
      <c r="D1575" t="s">
        <v>0</v>
      </c>
      <c r="E1575" s="8">
        <v>45104</v>
      </c>
      <c r="F1575">
        <v>166</v>
      </c>
    </row>
    <row r="1576" spans="1:6" x14ac:dyDescent="0.25">
      <c r="A1576" t="s">
        <v>52</v>
      </c>
      <c r="B1576">
        <v>1</v>
      </c>
      <c r="C1576" t="s">
        <v>15</v>
      </c>
      <c r="D1576" t="s">
        <v>0</v>
      </c>
      <c r="E1576" s="8">
        <v>45105</v>
      </c>
      <c r="F1576">
        <v>114</v>
      </c>
    </row>
    <row r="1577" spans="1:6" x14ac:dyDescent="0.25">
      <c r="A1577" t="s">
        <v>52</v>
      </c>
      <c r="B1577">
        <v>1</v>
      </c>
      <c r="C1577" t="s">
        <v>15</v>
      </c>
      <c r="D1577" t="s">
        <v>0</v>
      </c>
      <c r="E1577" s="8">
        <v>45106</v>
      </c>
      <c r="F1577">
        <v>19</v>
      </c>
    </row>
    <row r="1578" spans="1:6" x14ac:dyDescent="0.25">
      <c r="A1578" t="s">
        <v>52</v>
      </c>
      <c r="B1578">
        <v>1</v>
      </c>
      <c r="C1578" t="s">
        <v>15</v>
      </c>
      <c r="D1578" t="s">
        <v>0</v>
      </c>
      <c r="E1578" s="8">
        <v>45107</v>
      </c>
      <c r="F1578">
        <v>84</v>
      </c>
    </row>
    <row r="1579" spans="1:6" x14ac:dyDescent="0.25">
      <c r="A1579" t="s">
        <v>52</v>
      </c>
      <c r="B1579">
        <v>1</v>
      </c>
      <c r="C1579" t="s">
        <v>15</v>
      </c>
      <c r="D1579" t="s">
        <v>0</v>
      </c>
      <c r="E1579" s="8">
        <v>45108</v>
      </c>
      <c r="F1579">
        <v>193</v>
      </c>
    </row>
    <row r="1580" spans="1:6" x14ac:dyDescent="0.25">
      <c r="A1580" t="s">
        <v>52</v>
      </c>
      <c r="B1580">
        <v>1</v>
      </c>
      <c r="C1580" t="s">
        <v>15</v>
      </c>
      <c r="D1580" t="s">
        <v>0</v>
      </c>
      <c r="E1580" s="8">
        <v>45109</v>
      </c>
      <c r="F1580">
        <v>111</v>
      </c>
    </row>
    <row r="1581" spans="1:6" x14ac:dyDescent="0.25">
      <c r="A1581" t="s">
        <v>52</v>
      </c>
      <c r="B1581">
        <v>1</v>
      </c>
      <c r="C1581" t="s">
        <v>15</v>
      </c>
      <c r="D1581" t="s">
        <v>0</v>
      </c>
      <c r="E1581" s="8">
        <v>45110</v>
      </c>
      <c r="F1581">
        <v>70</v>
      </c>
    </row>
    <row r="1582" spans="1:6" x14ac:dyDescent="0.25">
      <c r="A1582" t="s">
        <v>52</v>
      </c>
      <c r="B1582">
        <v>1</v>
      </c>
      <c r="C1582" t="s">
        <v>15</v>
      </c>
      <c r="D1582" t="s">
        <v>0</v>
      </c>
      <c r="E1582" s="8">
        <v>45111</v>
      </c>
      <c r="F1582">
        <v>47</v>
      </c>
    </row>
    <row r="1583" spans="1:6" x14ac:dyDescent="0.25">
      <c r="A1583" t="s">
        <v>52</v>
      </c>
      <c r="B1583">
        <v>1</v>
      </c>
      <c r="C1583" t="s">
        <v>15</v>
      </c>
      <c r="D1583" t="s">
        <v>0</v>
      </c>
      <c r="E1583" s="8">
        <v>45112</v>
      </c>
      <c r="F1583">
        <v>102</v>
      </c>
    </row>
    <row r="1584" spans="1:6" x14ac:dyDescent="0.25">
      <c r="A1584" t="s">
        <v>52</v>
      </c>
      <c r="B1584">
        <v>1</v>
      </c>
      <c r="C1584" t="s">
        <v>15</v>
      </c>
      <c r="D1584" t="s">
        <v>0</v>
      </c>
      <c r="E1584" s="8">
        <v>45113</v>
      </c>
      <c r="F1584">
        <v>12</v>
      </c>
    </row>
    <row r="1585" spans="1:6" x14ac:dyDescent="0.25">
      <c r="A1585" t="s">
        <v>52</v>
      </c>
      <c r="B1585">
        <v>1</v>
      </c>
      <c r="C1585" t="s">
        <v>15</v>
      </c>
      <c r="D1585" t="s">
        <v>0</v>
      </c>
      <c r="E1585" s="8">
        <v>45114</v>
      </c>
      <c r="F1585">
        <v>99</v>
      </c>
    </row>
    <row r="1586" spans="1:6" x14ac:dyDescent="0.25">
      <c r="A1586" t="s">
        <v>52</v>
      </c>
      <c r="B1586">
        <v>1</v>
      </c>
      <c r="C1586" t="s">
        <v>15</v>
      </c>
      <c r="D1586" t="s">
        <v>0</v>
      </c>
      <c r="E1586" s="8">
        <v>45115</v>
      </c>
      <c r="F1586">
        <v>112</v>
      </c>
    </row>
    <row r="1587" spans="1:6" x14ac:dyDescent="0.25">
      <c r="A1587" t="s">
        <v>52</v>
      </c>
      <c r="B1587">
        <v>1</v>
      </c>
      <c r="C1587" t="s">
        <v>15</v>
      </c>
      <c r="D1587" t="s">
        <v>0</v>
      </c>
      <c r="E1587" s="8">
        <v>45116</v>
      </c>
      <c r="F1587">
        <v>119</v>
      </c>
    </row>
    <row r="1588" spans="1:6" x14ac:dyDescent="0.25">
      <c r="A1588" t="s">
        <v>52</v>
      </c>
      <c r="B1588">
        <v>1</v>
      </c>
      <c r="C1588" t="s">
        <v>15</v>
      </c>
      <c r="D1588" t="s">
        <v>0</v>
      </c>
      <c r="E1588" s="8">
        <v>45117</v>
      </c>
      <c r="F1588">
        <v>121</v>
      </c>
    </row>
    <row r="1589" spans="1:6" x14ac:dyDescent="0.25">
      <c r="A1589" t="s">
        <v>52</v>
      </c>
      <c r="B1589">
        <v>1</v>
      </c>
      <c r="C1589" t="s">
        <v>15</v>
      </c>
      <c r="D1589" t="s">
        <v>0</v>
      </c>
      <c r="E1589" s="8">
        <v>45122</v>
      </c>
      <c r="F1589">
        <v>95</v>
      </c>
    </row>
    <row r="1590" spans="1:6" x14ac:dyDescent="0.25">
      <c r="A1590" t="s">
        <v>52</v>
      </c>
      <c r="B1590">
        <v>1</v>
      </c>
      <c r="C1590" t="s">
        <v>15</v>
      </c>
      <c r="D1590" t="s">
        <v>0</v>
      </c>
      <c r="E1590" s="8">
        <v>45123</v>
      </c>
      <c r="F1590">
        <v>143</v>
      </c>
    </row>
    <row r="1591" spans="1:6" x14ac:dyDescent="0.25">
      <c r="A1591" t="s">
        <v>52</v>
      </c>
      <c r="B1591">
        <v>1</v>
      </c>
      <c r="C1591" t="s">
        <v>15</v>
      </c>
      <c r="D1591" t="s">
        <v>0</v>
      </c>
      <c r="E1591" s="8">
        <v>45124</v>
      </c>
      <c r="F1591">
        <v>86</v>
      </c>
    </row>
    <row r="1592" spans="1:6" x14ac:dyDescent="0.25">
      <c r="A1592" t="s">
        <v>52</v>
      </c>
      <c r="B1592">
        <v>1</v>
      </c>
      <c r="C1592" t="s">
        <v>15</v>
      </c>
      <c r="D1592" t="s">
        <v>0</v>
      </c>
      <c r="E1592" s="8">
        <v>45125</v>
      </c>
      <c r="F1592">
        <v>145</v>
      </c>
    </row>
    <row r="1593" spans="1:6" x14ac:dyDescent="0.25">
      <c r="A1593" t="s">
        <v>52</v>
      </c>
      <c r="B1593">
        <v>1</v>
      </c>
      <c r="C1593" t="s">
        <v>15</v>
      </c>
      <c r="D1593" t="s">
        <v>0</v>
      </c>
      <c r="E1593" s="8">
        <v>45126</v>
      </c>
      <c r="F1593">
        <v>92</v>
      </c>
    </row>
    <row r="1594" spans="1:6" x14ac:dyDescent="0.25">
      <c r="A1594" t="s">
        <v>52</v>
      </c>
      <c r="B1594">
        <v>1</v>
      </c>
      <c r="C1594" t="s">
        <v>16</v>
      </c>
      <c r="D1594" t="s">
        <v>0</v>
      </c>
      <c r="E1594" s="8">
        <v>45074</v>
      </c>
      <c r="F1594">
        <v>166</v>
      </c>
    </row>
    <row r="1595" spans="1:6" x14ac:dyDescent="0.25">
      <c r="A1595" t="s">
        <v>52</v>
      </c>
      <c r="B1595">
        <v>1</v>
      </c>
      <c r="C1595" t="s">
        <v>16</v>
      </c>
      <c r="D1595" t="s">
        <v>0</v>
      </c>
      <c r="E1595" s="8">
        <v>45075</v>
      </c>
      <c r="F1595">
        <v>146</v>
      </c>
    </row>
    <row r="1596" spans="1:6" x14ac:dyDescent="0.25">
      <c r="A1596" t="s">
        <v>52</v>
      </c>
      <c r="B1596">
        <v>1</v>
      </c>
      <c r="C1596" t="s">
        <v>16</v>
      </c>
      <c r="D1596" t="s">
        <v>0</v>
      </c>
      <c r="E1596" s="8">
        <v>45076</v>
      </c>
      <c r="F1596">
        <v>96</v>
      </c>
    </row>
    <row r="1597" spans="1:6" x14ac:dyDescent="0.25">
      <c r="A1597" t="s">
        <v>52</v>
      </c>
      <c r="B1597">
        <v>1</v>
      </c>
      <c r="C1597" t="s">
        <v>16</v>
      </c>
      <c r="D1597" t="s">
        <v>0</v>
      </c>
      <c r="E1597" s="8">
        <v>45077</v>
      </c>
      <c r="F1597">
        <v>145</v>
      </c>
    </row>
    <row r="1598" spans="1:6" x14ac:dyDescent="0.25">
      <c r="A1598" t="s">
        <v>52</v>
      </c>
      <c r="B1598">
        <v>1</v>
      </c>
      <c r="C1598" t="s">
        <v>16</v>
      </c>
      <c r="D1598" t="s">
        <v>0</v>
      </c>
      <c r="E1598" s="8">
        <v>45078</v>
      </c>
      <c r="F1598">
        <v>18</v>
      </c>
    </row>
    <row r="1599" spans="1:6" x14ac:dyDescent="0.25">
      <c r="A1599" t="s">
        <v>52</v>
      </c>
      <c r="B1599">
        <v>1</v>
      </c>
      <c r="C1599" t="s">
        <v>16</v>
      </c>
      <c r="D1599" t="s">
        <v>0</v>
      </c>
      <c r="E1599" s="8">
        <v>45080</v>
      </c>
      <c r="F1599">
        <v>17</v>
      </c>
    </row>
    <row r="1600" spans="1:6" x14ac:dyDescent="0.25">
      <c r="A1600" t="s">
        <v>52</v>
      </c>
      <c r="B1600">
        <v>1</v>
      </c>
      <c r="C1600" t="s">
        <v>16</v>
      </c>
      <c r="D1600" t="s">
        <v>0</v>
      </c>
      <c r="E1600" s="8">
        <v>45081</v>
      </c>
      <c r="F1600">
        <v>183</v>
      </c>
    </row>
    <row r="1601" spans="1:6" x14ac:dyDescent="0.25">
      <c r="A1601" t="s">
        <v>52</v>
      </c>
      <c r="B1601">
        <v>1</v>
      </c>
      <c r="C1601" t="s">
        <v>16</v>
      </c>
      <c r="D1601" t="s">
        <v>0</v>
      </c>
      <c r="E1601" s="8">
        <v>45082</v>
      </c>
      <c r="F1601">
        <v>4</v>
      </c>
    </row>
    <row r="1602" spans="1:6" x14ac:dyDescent="0.25">
      <c r="A1602" t="s">
        <v>52</v>
      </c>
      <c r="B1602">
        <v>1</v>
      </c>
      <c r="C1602" t="s">
        <v>16</v>
      </c>
      <c r="D1602" t="s">
        <v>0</v>
      </c>
      <c r="E1602" s="8">
        <v>45146</v>
      </c>
      <c r="F1602">
        <v>148</v>
      </c>
    </row>
    <row r="1603" spans="1:6" x14ac:dyDescent="0.25">
      <c r="A1603" t="s">
        <v>52</v>
      </c>
      <c r="B1603">
        <v>1</v>
      </c>
      <c r="C1603" t="s">
        <v>16</v>
      </c>
      <c r="D1603" t="s">
        <v>0</v>
      </c>
      <c r="E1603" s="8">
        <v>45147</v>
      </c>
      <c r="F1603">
        <v>132</v>
      </c>
    </row>
    <row r="1604" spans="1:6" x14ac:dyDescent="0.25">
      <c r="A1604" t="s">
        <v>52</v>
      </c>
      <c r="B1604">
        <v>1</v>
      </c>
      <c r="C1604" t="s">
        <v>16</v>
      </c>
      <c r="D1604" t="s">
        <v>0</v>
      </c>
      <c r="E1604" s="8">
        <v>45148</v>
      </c>
      <c r="F1604">
        <v>156</v>
      </c>
    </row>
    <row r="1605" spans="1:6" x14ac:dyDescent="0.25">
      <c r="A1605" t="s">
        <v>52</v>
      </c>
      <c r="B1605">
        <v>1</v>
      </c>
      <c r="C1605" t="s">
        <v>16</v>
      </c>
      <c r="D1605" t="s">
        <v>0</v>
      </c>
      <c r="E1605" s="8">
        <v>45149</v>
      </c>
      <c r="F1605">
        <v>63</v>
      </c>
    </row>
    <row r="1606" spans="1:6" x14ac:dyDescent="0.25">
      <c r="A1606" t="s">
        <v>52</v>
      </c>
      <c r="B1606">
        <v>1</v>
      </c>
      <c r="C1606" t="s">
        <v>16</v>
      </c>
      <c r="D1606" t="s">
        <v>0</v>
      </c>
      <c r="E1606" s="8">
        <v>45150</v>
      </c>
      <c r="F1606">
        <v>154</v>
      </c>
    </row>
    <row r="1607" spans="1:6" x14ac:dyDescent="0.25">
      <c r="A1607" t="s">
        <v>52</v>
      </c>
      <c r="B1607">
        <v>1</v>
      </c>
      <c r="C1607" t="s">
        <v>16</v>
      </c>
      <c r="D1607" t="s">
        <v>0</v>
      </c>
      <c r="E1607" s="8">
        <v>45151</v>
      </c>
      <c r="F1607">
        <v>36</v>
      </c>
    </row>
    <row r="1608" spans="1:6" x14ac:dyDescent="0.25">
      <c r="A1608" t="s">
        <v>52</v>
      </c>
      <c r="B1608">
        <v>1</v>
      </c>
      <c r="C1608" t="s">
        <v>16</v>
      </c>
      <c r="D1608" t="s">
        <v>0</v>
      </c>
      <c r="E1608" s="8">
        <v>45180</v>
      </c>
      <c r="F1608">
        <v>141</v>
      </c>
    </row>
    <row r="1609" spans="1:6" x14ac:dyDescent="0.25">
      <c r="A1609" t="s">
        <v>52</v>
      </c>
      <c r="B1609">
        <v>1</v>
      </c>
      <c r="C1609" t="s">
        <v>16</v>
      </c>
      <c r="D1609" t="s">
        <v>0</v>
      </c>
      <c r="E1609" s="8">
        <v>45182</v>
      </c>
      <c r="F1609">
        <v>104</v>
      </c>
    </row>
    <row r="1610" spans="1:6" x14ac:dyDescent="0.25">
      <c r="A1610" t="s">
        <v>52</v>
      </c>
      <c r="B1610">
        <v>1</v>
      </c>
      <c r="C1610" t="s">
        <v>16</v>
      </c>
      <c r="D1610" t="s">
        <v>0</v>
      </c>
      <c r="E1610" s="8">
        <v>45183</v>
      </c>
      <c r="F1610">
        <v>68</v>
      </c>
    </row>
    <row r="1611" spans="1:6" x14ac:dyDescent="0.25">
      <c r="A1611" t="s">
        <v>52</v>
      </c>
      <c r="B1611">
        <v>1</v>
      </c>
      <c r="C1611" t="s">
        <v>16</v>
      </c>
      <c r="D1611" t="s">
        <v>0</v>
      </c>
      <c r="E1611" s="8">
        <v>45184</v>
      </c>
      <c r="F1611">
        <v>232</v>
      </c>
    </row>
    <row r="1612" spans="1:6" x14ac:dyDescent="0.25">
      <c r="A1612" t="s">
        <v>52</v>
      </c>
      <c r="B1612">
        <v>1</v>
      </c>
      <c r="C1612" t="s">
        <v>16</v>
      </c>
      <c r="D1612" t="s">
        <v>0</v>
      </c>
      <c r="E1612" s="8">
        <v>45185</v>
      </c>
      <c r="F1612">
        <v>186</v>
      </c>
    </row>
    <row r="1613" spans="1:6" x14ac:dyDescent="0.25">
      <c r="A1613" t="s">
        <v>52</v>
      </c>
      <c r="B1613">
        <v>1</v>
      </c>
      <c r="C1613" t="s">
        <v>16</v>
      </c>
      <c r="D1613" t="s">
        <v>0</v>
      </c>
      <c r="E1613" s="8">
        <v>45186</v>
      </c>
      <c r="F1613">
        <v>184</v>
      </c>
    </row>
    <row r="1614" spans="1:6" x14ac:dyDescent="0.25">
      <c r="A1614" t="s">
        <v>52</v>
      </c>
      <c r="B1614">
        <v>1</v>
      </c>
      <c r="C1614" t="s">
        <v>16</v>
      </c>
      <c r="D1614" t="s">
        <v>0</v>
      </c>
      <c r="E1614" s="8">
        <v>45187</v>
      </c>
      <c r="F1614">
        <v>119</v>
      </c>
    </row>
    <row r="1615" spans="1:6" x14ac:dyDescent="0.25">
      <c r="A1615" t="s">
        <v>52</v>
      </c>
      <c r="B1615">
        <v>1</v>
      </c>
      <c r="C1615" t="s">
        <v>16</v>
      </c>
      <c r="D1615" t="s">
        <v>0</v>
      </c>
      <c r="E1615" s="8">
        <v>45188</v>
      </c>
      <c r="F1615">
        <v>53</v>
      </c>
    </row>
    <row r="1616" spans="1:6" x14ac:dyDescent="0.25">
      <c r="A1616" t="s">
        <v>52</v>
      </c>
      <c r="B1616">
        <v>1</v>
      </c>
      <c r="C1616" t="s">
        <v>16</v>
      </c>
      <c r="D1616" t="s">
        <v>0</v>
      </c>
      <c r="E1616" s="8">
        <v>45189</v>
      </c>
      <c r="F1616">
        <v>188</v>
      </c>
    </row>
    <row r="1617" spans="1:6" x14ac:dyDescent="0.25">
      <c r="A1617" t="s">
        <v>52</v>
      </c>
      <c r="B1617">
        <v>1</v>
      </c>
      <c r="C1617" t="s">
        <v>16</v>
      </c>
      <c r="D1617" t="s">
        <v>0</v>
      </c>
      <c r="E1617" s="8">
        <v>45190</v>
      </c>
      <c r="F1617">
        <v>191</v>
      </c>
    </row>
    <row r="1618" spans="1:6" x14ac:dyDescent="0.25">
      <c r="A1618" t="s">
        <v>52</v>
      </c>
      <c r="B1618">
        <v>1</v>
      </c>
      <c r="C1618" t="s">
        <v>16</v>
      </c>
      <c r="D1618" t="s">
        <v>0</v>
      </c>
      <c r="E1618" s="8">
        <v>45191</v>
      </c>
      <c r="F1618">
        <v>171</v>
      </c>
    </row>
    <row r="1619" spans="1:6" x14ac:dyDescent="0.25">
      <c r="A1619" t="s">
        <v>52</v>
      </c>
      <c r="B1619">
        <v>1</v>
      </c>
      <c r="C1619" t="s">
        <v>16</v>
      </c>
      <c r="D1619" t="s">
        <v>0</v>
      </c>
      <c r="E1619" s="8">
        <v>45192</v>
      </c>
      <c r="F1619">
        <v>210</v>
      </c>
    </row>
    <row r="1620" spans="1:6" x14ac:dyDescent="0.25">
      <c r="A1620" t="s">
        <v>52</v>
      </c>
      <c r="B1620">
        <v>1</v>
      </c>
      <c r="C1620" t="s">
        <v>16</v>
      </c>
      <c r="D1620" t="s">
        <v>0</v>
      </c>
      <c r="E1620" s="8">
        <v>45193</v>
      </c>
      <c r="F1620">
        <v>48</v>
      </c>
    </row>
    <row r="1621" spans="1:6" x14ac:dyDescent="0.25">
      <c r="A1621" t="s">
        <v>52</v>
      </c>
      <c r="B1621">
        <v>1</v>
      </c>
      <c r="C1621" t="s">
        <v>16</v>
      </c>
      <c r="D1621" t="s">
        <v>0</v>
      </c>
      <c r="E1621" s="8">
        <v>45194</v>
      </c>
      <c r="F1621">
        <v>16</v>
      </c>
    </row>
    <row r="1622" spans="1:6" x14ac:dyDescent="0.25">
      <c r="A1622" t="s">
        <v>52</v>
      </c>
      <c r="B1622">
        <v>1</v>
      </c>
      <c r="C1622" t="s">
        <v>16</v>
      </c>
      <c r="D1622" t="s">
        <v>0</v>
      </c>
      <c r="E1622" s="8">
        <v>45197</v>
      </c>
      <c r="F1622">
        <v>33</v>
      </c>
    </row>
    <row r="1623" spans="1:6" x14ac:dyDescent="0.25">
      <c r="A1623" t="s">
        <v>52</v>
      </c>
      <c r="B1623">
        <v>1</v>
      </c>
      <c r="C1623" t="s">
        <v>16</v>
      </c>
      <c r="D1623" t="s">
        <v>0</v>
      </c>
      <c r="E1623" s="8">
        <v>45198</v>
      </c>
      <c r="F1623">
        <v>165</v>
      </c>
    </row>
    <row r="1624" spans="1:6" x14ac:dyDescent="0.25">
      <c r="A1624" t="s">
        <v>52</v>
      </c>
      <c r="B1624">
        <v>1</v>
      </c>
      <c r="C1624" t="s">
        <v>16</v>
      </c>
      <c r="D1624" t="s">
        <v>0</v>
      </c>
      <c r="E1624" s="8">
        <v>45199</v>
      </c>
      <c r="F1624">
        <v>9</v>
      </c>
    </row>
    <row r="1625" spans="1:6" x14ac:dyDescent="0.25">
      <c r="A1625" t="s">
        <v>52</v>
      </c>
      <c r="B1625">
        <v>1</v>
      </c>
      <c r="C1625" t="s">
        <v>17</v>
      </c>
      <c r="D1625" t="s">
        <v>0</v>
      </c>
      <c r="E1625" s="8">
        <v>45077</v>
      </c>
      <c r="F1625">
        <v>0</v>
      </c>
    </row>
    <row r="1626" spans="1:6" x14ac:dyDescent="0.25">
      <c r="A1626" t="s">
        <v>52</v>
      </c>
      <c r="B1626">
        <v>1</v>
      </c>
      <c r="C1626" t="s">
        <v>17</v>
      </c>
      <c r="D1626" t="s">
        <v>0</v>
      </c>
      <c r="E1626" s="8">
        <v>45151</v>
      </c>
      <c r="F1626">
        <v>121</v>
      </c>
    </row>
    <row r="1627" spans="1:6" x14ac:dyDescent="0.25">
      <c r="A1627" t="s">
        <v>52</v>
      </c>
      <c r="B1627">
        <v>1</v>
      </c>
      <c r="C1627" t="s">
        <v>17</v>
      </c>
      <c r="D1627" t="s">
        <v>0</v>
      </c>
      <c r="E1627" s="8">
        <v>45152</v>
      </c>
      <c r="F1627">
        <v>168</v>
      </c>
    </row>
    <row r="1628" spans="1:6" x14ac:dyDescent="0.25">
      <c r="A1628" t="s">
        <v>52</v>
      </c>
      <c r="B1628">
        <v>1</v>
      </c>
      <c r="C1628" t="s">
        <v>17</v>
      </c>
      <c r="D1628" t="s">
        <v>0</v>
      </c>
      <c r="E1628" s="8">
        <v>45153</v>
      </c>
      <c r="F1628">
        <v>247</v>
      </c>
    </row>
    <row r="1629" spans="1:6" x14ac:dyDescent="0.25">
      <c r="A1629" t="s">
        <v>52</v>
      </c>
      <c r="B1629">
        <v>1</v>
      </c>
      <c r="C1629" t="s">
        <v>17</v>
      </c>
      <c r="D1629" t="s">
        <v>0</v>
      </c>
      <c r="E1629" s="8">
        <v>45154</v>
      </c>
      <c r="F1629">
        <v>95</v>
      </c>
    </row>
    <row r="1630" spans="1:6" x14ac:dyDescent="0.25">
      <c r="A1630" t="s">
        <v>52</v>
      </c>
      <c r="B1630">
        <v>1</v>
      </c>
      <c r="C1630" t="s">
        <v>17</v>
      </c>
      <c r="D1630" t="s">
        <v>0</v>
      </c>
      <c r="E1630" s="8">
        <v>45155</v>
      </c>
      <c r="F1630">
        <v>111</v>
      </c>
    </row>
    <row r="1631" spans="1:6" x14ac:dyDescent="0.25">
      <c r="A1631" t="s">
        <v>52</v>
      </c>
      <c r="B1631">
        <v>1</v>
      </c>
      <c r="C1631" t="s">
        <v>17</v>
      </c>
      <c r="D1631" t="s">
        <v>0</v>
      </c>
      <c r="E1631" s="8">
        <v>45156</v>
      </c>
      <c r="F1631">
        <v>223</v>
      </c>
    </row>
    <row r="1632" spans="1:6" x14ac:dyDescent="0.25">
      <c r="A1632" t="s">
        <v>52</v>
      </c>
      <c r="B1632">
        <v>1</v>
      </c>
      <c r="C1632" t="s">
        <v>17</v>
      </c>
      <c r="D1632" t="s">
        <v>0</v>
      </c>
      <c r="E1632" s="8">
        <v>45157</v>
      </c>
      <c r="F1632">
        <v>89</v>
      </c>
    </row>
    <row r="1633" spans="1:6" x14ac:dyDescent="0.25">
      <c r="A1633" t="s">
        <v>52</v>
      </c>
      <c r="B1633">
        <v>1</v>
      </c>
      <c r="C1633" t="s">
        <v>17</v>
      </c>
      <c r="D1633" t="s">
        <v>0</v>
      </c>
      <c r="E1633" s="8">
        <v>45158</v>
      </c>
      <c r="F1633">
        <v>158</v>
      </c>
    </row>
    <row r="1634" spans="1:6" x14ac:dyDescent="0.25">
      <c r="A1634" t="s">
        <v>52</v>
      </c>
      <c r="B1634">
        <v>1</v>
      </c>
      <c r="C1634" t="s">
        <v>17</v>
      </c>
      <c r="D1634" t="s">
        <v>0</v>
      </c>
      <c r="E1634" s="8">
        <v>45160</v>
      </c>
      <c r="F1634">
        <v>10</v>
      </c>
    </row>
    <row r="1635" spans="1:6" x14ac:dyDescent="0.25">
      <c r="A1635" t="s">
        <v>52</v>
      </c>
      <c r="B1635">
        <v>1</v>
      </c>
      <c r="C1635" t="s">
        <v>17</v>
      </c>
      <c r="D1635" t="s">
        <v>1</v>
      </c>
      <c r="E1635" s="8">
        <v>45077</v>
      </c>
      <c r="F1635">
        <v>160</v>
      </c>
    </row>
    <row r="1636" spans="1:6" x14ac:dyDescent="0.25">
      <c r="A1636" t="s">
        <v>52</v>
      </c>
      <c r="B1636">
        <v>1</v>
      </c>
      <c r="C1636" t="s">
        <v>17</v>
      </c>
      <c r="D1636" t="s">
        <v>1</v>
      </c>
      <c r="E1636" s="8">
        <v>45078</v>
      </c>
      <c r="F1636">
        <v>136</v>
      </c>
    </row>
    <row r="1637" spans="1:6" x14ac:dyDescent="0.25">
      <c r="A1637" t="s">
        <v>52</v>
      </c>
      <c r="B1637">
        <v>1</v>
      </c>
      <c r="C1637" t="s">
        <v>17</v>
      </c>
      <c r="D1637" t="s">
        <v>1</v>
      </c>
      <c r="E1637" s="8">
        <v>45079</v>
      </c>
      <c r="F1637">
        <v>213</v>
      </c>
    </row>
    <row r="1638" spans="1:6" x14ac:dyDescent="0.25">
      <c r="A1638" t="s">
        <v>52</v>
      </c>
      <c r="B1638">
        <v>1</v>
      </c>
      <c r="C1638" t="s">
        <v>17</v>
      </c>
      <c r="D1638" t="s">
        <v>1</v>
      </c>
      <c r="E1638" s="8">
        <v>45080</v>
      </c>
      <c r="F1638">
        <v>146</v>
      </c>
    </row>
    <row r="1639" spans="1:6" x14ac:dyDescent="0.25">
      <c r="A1639" t="s">
        <v>52</v>
      </c>
      <c r="B1639">
        <v>1</v>
      </c>
      <c r="C1639" t="s">
        <v>17</v>
      </c>
      <c r="D1639" t="s">
        <v>1</v>
      </c>
      <c r="E1639" s="8">
        <v>45081</v>
      </c>
      <c r="F1639">
        <v>123</v>
      </c>
    </row>
    <row r="1640" spans="1:6" x14ac:dyDescent="0.25">
      <c r="A1640" t="s">
        <v>52</v>
      </c>
      <c r="B1640">
        <v>1</v>
      </c>
      <c r="C1640" t="s">
        <v>17</v>
      </c>
      <c r="D1640" t="s">
        <v>1</v>
      </c>
      <c r="E1640" s="8">
        <v>45082</v>
      </c>
      <c r="F1640">
        <v>163</v>
      </c>
    </row>
    <row r="1641" spans="1:6" x14ac:dyDescent="0.25">
      <c r="A1641" t="s">
        <v>52</v>
      </c>
      <c r="B1641">
        <v>1</v>
      </c>
      <c r="C1641" t="s">
        <v>17</v>
      </c>
      <c r="D1641" t="s">
        <v>1</v>
      </c>
      <c r="E1641" s="8">
        <v>45083</v>
      </c>
      <c r="F1641">
        <v>100</v>
      </c>
    </row>
    <row r="1642" spans="1:6" x14ac:dyDescent="0.25">
      <c r="A1642" t="s">
        <v>52</v>
      </c>
      <c r="B1642">
        <v>1</v>
      </c>
      <c r="C1642" t="s">
        <v>17</v>
      </c>
      <c r="D1642" t="s">
        <v>1</v>
      </c>
      <c r="E1642" s="8">
        <v>45162</v>
      </c>
      <c r="F1642">
        <v>87</v>
      </c>
    </row>
    <row r="1643" spans="1:6" x14ac:dyDescent="0.25">
      <c r="A1643" t="s">
        <v>52</v>
      </c>
      <c r="B1643">
        <v>1</v>
      </c>
      <c r="C1643" t="s">
        <v>18</v>
      </c>
      <c r="D1643" t="s">
        <v>1</v>
      </c>
      <c r="E1643" s="8">
        <v>45142</v>
      </c>
      <c r="F1643">
        <v>142</v>
      </c>
    </row>
    <row r="1644" spans="1:6" x14ac:dyDescent="0.25">
      <c r="A1644" t="s">
        <v>52</v>
      </c>
      <c r="B1644">
        <v>1</v>
      </c>
      <c r="C1644" t="s">
        <v>18</v>
      </c>
      <c r="D1644" t="s">
        <v>1</v>
      </c>
      <c r="E1644" s="8">
        <v>45146</v>
      </c>
      <c r="F1644">
        <v>131</v>
      </c>
    </row>
    <row r="1645" spans="1:6" x14ac:dyDescent="0.25">
      <c r="A1645" t="s">
        <v>52</v>
      </c>
      <c r="B1645">
        <v>1</v>
      </c>
      <c r="C1645" t="s">
        <v>18</v>
      </c>
      <c r="D1645" t="s">
        <v>1</v>
      </c>
      <c r="E1645" s="8">
        <v>45156</v>
      </c>
      <c r="F1645">
        <v>148</v>
      </c>
    </row>
    <row r="1646" spans="1:6" x14ac:dyDescent="0.25">
      <c r="A1646" t="s">
        <v>52</v>
      </c>
      <c r="B1646">
        <v>1</v>
      </c>
      <c r="C1646" t="s">
        <v>18</v>
      </c>
      <c r="D1646" t="s">
        <v>1</v>
      </c>
      <c r="E1646" s="8">
        <v>45157</v>
      </c>
      <c r="F1646">
        <v>210</v>
      </c>
    </row>
    <row r="1647" spans="1:6" x14ac:dyDescent="0.25">
      <c r="A1647" t="s">
        <v>52</v>
      </c>
      <c r="B1647">
        <v>1</v>
      </c>
      <c r="C1647" t="s">
        <v>18</v>
      </c>
      <c r="D1647" t="s">
        <v>1</v>
      </c>
      <c r="E1647" s="8">
        <v>45158</v>
      </c>
      <c r="F1647">
        <v>136</v>
      </c>
    </row>
    <row r="1648" spans="1:6" x14ac:dyDescent="0.25">
      <c r="A1648" t="s">
        <v>52</v>
      </c>
      <c r="B1648">
        <v>1</v>
      </c>
      <c r="C1648" t="s">
        <v>18</v>
      </c>
      <c r="D1648" t="s">
        <v>1</v>
      </c>
      <c r="E1648" s="8">
        <v>45159</v>
      </c>
      <c r="F1648">
        <v>113</v>
      </c>
    </row>
    <row r="1649" spans="1:6" x14ac:dyDescent="0.25">
      <c r="A1649" t="s">
        <v>52</v>
      </c>
      <c r="B1649">
        <v>1</v>
      </c>
      <c r="C1649" t="s">
        <v>18</v>
      </c>
      <c r="D1649" t="s">
        <v>1</v>
      </c>
      <c r="E1649" s="8">
        <v>45160</v>
      </c>
      <c r="F1649">
        <v>184</v>
      </c>
    </row>
    <row r="1650" spans="1:6" x14ac:dyDescent="0.25">
      <c r="A1650" t="s">
        <v>52</v>
      </c>
      <c r="B1650">
        <v>1</v>
      </c>
      <c r="C1650" t="s">
        <v>18</v>
      </c>
      <c r="D1650" t="s">
        <v>1</v>
      </c>
      <c r="E1650" s="8">
        <v>45161</v>
      </c>
      <c r="F1650">
        <v>201</v>
      </c>
    </row>
    <row r="1651" spans="1:6" x14ac:dyDescent="0.25">
      <c r="A1651" t="s">
        <v>52</v>
      </c>
      <c r="B1651">
        <v>1</v>
      </c>
      <c r="C1651" t="s">
        <v>18</v>
      </c>
      <c r="D1651" t="s">
        <v>1</v>
      </c>
      <c r="E1651" s="8">
        <v>45162</v>
      </c>
      <c r="F1651">
        <v>180</v>
      </c>
    </row>
    <row r="1652" spans="1:6" x14ac:dyDescent="0.25">
      <c r="A1652" t="s">
        <v>52</v>
      </c>
      <c r="B1652">
        <v>1</v>
      </c>
      <c r="C1652" t="s">
        <v>18</v>
      </c>
      <c r="D1652" t="s">
        <v>1</v>
      </c>
      <c r="E1652" s="8">
        <v>45163</v>
      </c>
      <c r="F1652">
        <v>265</v>
      </c>
    </row>
    <row r="1653" spans="1:6" x14ac:dyDescent="0.25">
      <c r="A1653" t="s">
        <v>52</v>
      </c>
      <c r="B1653">
        <v>1</v>
      </c>
      <c r="C1653" t="s">
        <v>18</v>
      </c>
      <c r="D1653" t="s">
        <v>1</v>
      </c>
      <c r="E1653" s="8">
        <v>45164</v>
      </c>
      <c r="F1653">
        <v>161</v>
      </c>
    </row>
    <row r="1654" spans="1:6" x14ac:dyDescent="0.25">
      <c r="A1654" t="s">
        <v>52</v>
      </c>
      <c r="B1654">
        <v>1</v>
      </c>
      <c r="C1654" t="s">
        <v>18</v>
      </c>
      <c r="D1654" t="s">
        <v>1</v>
      </c>
      <c r="E1654" s="8">
        <v>45165</v>
      </c>
      <c r="F1654">
        <v>82</v>
      </c>
    </row>
    <row r="1655" spans="1:6" x14ac:dyDescent="0.25">
      <c r="A1655" t="s">
        <v>52</v>
      </c>
      <c r="B1655">
        <v>1</v>
      </c>
      <c r="C1655" t="s">
        <v>19</v>
      </c>
      <c r="D1655" t="s">
        <v>1</v>
      </c>
      <c r="E1655" s="8">
        <v>45124</v>
      </c>
      <c r="F1655">
        <v>42</v>
      </c>
    </row>
    <row r="1656" spans="1:6" x14ac:dyDescent="0.25">
      <c r="A1656" t="s">
        <v>52</v>
      </c>
      <c r="B1656">
        <v>1</v>
      </c>
      <c r="C1656" t="s">
        <v>19</v>
      </c>
      <c r="D1656" t="s">
        <v>1</v>
      </c>
      <c r="E1656" s="8">
        <v>45125</v>
      </c>
      <c r="F1656">
        <v>140</v>
      </c>
    </row>
    <row r="1657" spans="1:6" x14ac:dyDescent="0.25">
      <c r="A1657" t="s">
        <v>52</v>
      </c>
      <c r="B1657">
        <v>1</v>
      </c>
      <c r="C1657" t="s">
        <v>19</v>
      </c>
      <c r="D1657" t="s">
        <v>1</v>
      </c>
      <c r="E1657" s="8">
        <v>45126</v>
      </c>
      <c r="F1657">
        <v>128</v>
      </c>
    </row>
    <row r="1658" spans="1:6" x14ac:dyDescent="0.25">
      <c r="A1658" t="s">
        <v>52</v>
      </c>
      <c r="B1658">
        <v>1</v>
      </c>
      <c r="C1658" t="s">
        <v>19</v>
      </c>
      <c r="D1658" t="s">
        <v>1</v>
      </c>
      <c r="E1658" s="8">
        <v>45127</v>
      </c>
      <c r="F1658">
        <v>191</v>
      </c>
    </row>
    <row r="1659" spans="1:6" x14ac:dyDescent="0.25">
      <c r="A1659" t="s">
        <v>52</v>
      </c>
      <c r="B1659">
        <v>1</v>
      </c>
      <c r="C1659" t="s">
        <v>19</v>
      </c>
      <c r="D1659" t="s">
        <v>1</v>
      </c>
      <c r="E1659" s="8">
        <v>45128</v>
      </c>
      <c r="F1659">
        <v>143</v>
      </c>
    </row>
    <row r="1660" spans="1:6" x14ac:dyDescent="0.25">
      <c r="A1660" t="s">
        <v>52</v>
      </c>
      <c r="B1660">
        <v>1</v>
      </c>
      <c r="C1660" t="s">
        <v>19</v>
      </c>
      <c r="D1660" t="s">
        <v>1</v>
      </c>
      <c r="E1660" s="8">
        <v>45129</v>
      </c>
      <c r="F1660">
        <v>86</v>
      </c>
    </row>
    <row r="1661" spans="1:6" x14ac:dyDescent="0.25">
      <c r="A1661" t="s">
        <v>52</v>
      </c>
      <c r="B1661">
        <v>1</v>
      </c>
      <c r="C1661" t="s">
        <v>19</v>
      </c>
      <c r="D1661" t="s">
        <v>1</v>
      </c>
      <c r="E1661" s="8">
        <v>45130</v>
      </c>
      <c r="F1661">
        <v>16</v>
      </c>
    </row>
    <row r="1662" spans="1:6" x14ac:dyDescent="0.25">
      <c r="A1662" t="s">
        <v>52</v>
      </c>
      <c r="B1662">
        <v>1</v>
      </c>
      <c r="C1662" t="s">
        <v>19</v>
      </c>
      <c r="D1662" t="s">
        <v>1</v>
      </c>
      <c r="E1662" s="8">
        <v>45131</v>
      </c>
      <c r="F1662">
        <v>106</v>
      </c>
    </row>
    <row r="1663" spans="1:6" x14ac:dyDescent="0.25">
      <c r="A1663" t="s">
        <v>52</v>
      </c>
      <c r="B1663">
        <v>1</v>
      </c>
      <c r="C1663" t="s">
        <v>19</v>
      </c>
      <c r="D1663" t="s">
        <v>1</v>
      </c>
      <c r="E1663" s="8">
        <v>45132</v>
      </c>
      <c r="F1663">
        <v>110</v>
      </c>
    </row>
    <row r="1664" spans="1:6" x14ac:dyDescent="0.25">
      <c r="A1664" t="s">
        <v>52</v>
      </c>
      <c r="B1664">
        <v>1</v>
      </c>
      <c r="C1664" t="s">
        <v>19</v>
      </c>
      <c r="D1664" t="s">
        <v>1</v>
      </c>
      <c r="E1664" s="8">
        <v>45133</v>
      </c>
      <c r="F1664">
        <v>52</v>
      </c>
    </row>
    <row r="1665" spans="1:6" x14ac:dyDescent="0.25">
      <c r="A1665" t="s">
        <v>52</v>
      </c>
      <c r="B1665">
        <v>1</v>
      </c>
      <c r="C1665" t="s">
        <v>19</v>
      </c>
      <c r="D1665" t="s">
        <v>1</v>
      </c>
      <c r="E1665" s="8">
        <v>45134</v>
      </c>
      <c r="F1665">
        <v>117</v>
      </c>
    </row>
    <row r="1666" spans="1:6" x14ac:dyDescent="0.25">
      <c r="A1666" t="s">
        <v>52</v>
      </c>
      <c r="B1666">
        <v>1</v>
      </c>
      <c r="C1666" t="s">
        <v>20</v>
      </c>
      <c r="D1666" t="s">
        <v>1</v>
      </c>
      <c r="E1666" s="8">
        <v>45063</v>
      </c>
      <c r="F1666">
        <v>41</v>
      </c>
    </row>
    <row r="1667" spans="1:6" x14ac:dyDescent="0.25">
      <c r="A1667" t="s">
        <v>52</v>
      </c>
      <c r="B1667">
        <v>1</v>
      </c>
      <c r="C1667" t="s">
        <v>20</v>
      </c>
      <c r="D1667" t="s">
        <v>1</v>
      </c>
      <c r="E1667" s="8">
        <v>45064</v>
      </c>
      <c r="F1667">
        <v>126</v>
      </c>
    </row>
    <row r="1668" spans="1:6" x14ac:dyDescent="0.25">
      <c r="A1668" t="s">
        <v>52</v>
      </c>
      <c r="B1668">
        <v>1</v>
      </c>
      <c r="C1668" t="s">
        <v>20</v>
      </c>
      <c r="D1668" t="s">
        <v>1</v>
      </c>
      <c r="E1668" s="8">
        <v>45065</v>
      </c>
      <c r="F1668">
        <v>168</v>
      </c>
    </row>
    <row r="1669" spans="1:6" x14ac:dyDescent="0.25">
      <c r="A1669" t="s">
        <v>52</v>
      </c>
      <c r="B1669">
        <v>1</v>
      </c>
      <c r="C1669" t="s">
        <v>20</v>
      </c>
      <c r="D1669" t="s">
        <v>1</v>
      </c>
      <c r="E1669" s="8">
        <v>45066</v>
      </c>
      <c r="F1669">
        <v>72</v>
      </c>
    </row>
    <row r="1670" spans="1:6" x14ac:dyDescent="0.25">
      <c r="A1670" t="s">
        <v>52</v>
      </c>
      <c r="B1670">
        <v>1</v>
      </c>
      <c r="C1670" t="s">
        <v>20</v>
      </c>
      <c r="D1670" t="s">
        <v>1</v>
      </c>
      <c r="E1670" s="8">
        <v>45067</v>
      </c>
      <c r="F1670">
        <v>94</v>
      </c>
    </row>
    <row r="1671" spans="1:6" x14ac:dyDescent="0.25">
      <c r="A1671" t="s">
        <v>52</v>
      </c>
      <c r="B1671">
        <v>1</v>
      </c>
      <c r="C1671" t="s">
        <v>20</v>
      </c>
      <c r="D1671" t="s">
        <v>1</v>
      </c>
      <c r="E1671" s="8">
        <v>45068</v>
      </c>
      <c r="F1671">
        <v>105</v>
      </c>
    </row>
    <row r="1672" spans="1:6" x14ac:dyDescent="0.25">
      <c r="A1672" t="s">
        <v>52</v>
      </c>
      <c r="B1672">
        <v>1</v>
      </c>
      <c r="C1672" t="s">
        <v>20</v>
      </c>
      <c r="D1672" t="s">
        <v>1</v>
      </c>
      <c r="E1672" s="8">
        <v>45069</v>
      </c>
      <c r="F1672">
        <v>33</v>
      </c>
    </row>
    <row r="1673" spans="1:6" x14ac:dyDescent="0.25">
      <c r="A1673" t="s">
        <v>52</v>
      </c>
      <c r="B1673">
        <v>1</v>
      </c>
      <c r="C1673" t="s">
        <v>20</v>
      </c>
      <c r="D1673" t="s">
        <v>1</v>
      </c>
      <c r="E1673" s="8">
        <v>45070</v>
      </c>
      <c r="F1673">
        <v>122</v>
      </c>
    </row>
    <row r="1674" spans="1:6" x14ac:dyDescent="0.25">
      <c r="A1674" t="s">
        <v>52</v>
      </c>
      <c r="B1674">
        <v>1</v>
      </c>
      <c r="C1674" t="s">
        <v>20</v>
      </c>
      <c r="D1674" t="s">
        <v>1</v>
      </c>
      <c r="E1674" s="8">
        <v>45071</v>
      </c>
      <c r="F1674">
        <v>162</v>
      </c>
    </row>
    <row r="1675" spans="1:6" x14ac:dyDescent="0.25">
      <c r="A1675" t="s">
        <v>52</v>
      </c>
      <c r="B1675">
        <v>1</v>
      </c>
      <c r="C1675" t="s">
        <v>20</v>
      </c>
      <c r="D1675" t="s">
        <v>1</v>
      </c>
      <c r="E1675" s="8">
        <v>45072</v>
      </c>
      <c r="F1675">
        <v>126</v>
      </c>
    </row>
    <row r="1676" spans="1:6" x14ac:dyDescent="0.25">
      <c r="A1676" t="s">
        <v>52</v>
      </c>
      <c r="B1676">
        <v>1</v>
      </c>
      <c r="C1676" t="s">
        <v>20</v>
      </c>
      <c r="D1676" t="s">
        <v>1</v>
      </c>
      <c r="E1676" s="8">
        <v>45073</v>
      </c>
      <c r="F1676">
        <v>130</v>
      </c>
    </row>
    <row r="1677" spans="1:6" x14ac:dyDescent="0.25">
      <c r="A1677" t="s">
        <v>52</v>
      </c>
      <c r="B1677">
        <v>1</v>
      </c>
      <c r="C1677" t="s">
        <v>20</v>
      </c>
      <c r="D1677" t="s">
        <v>1</v>
      </c>
      <c r="E1677" s="8">
        <v>45074</v>
      </c>
      <c r="F1677">
        <v>152</v>
      </c>
    </row>
    <row r="1678" spans="1:6" x14ac:dyDescent="0.25">
      <c r="A1678" t="s">
        <v>52</v>
      </c>
      <c r="B1678">
        <v>1</v>
      </c>
      <c r="C1678" t="s">
        <v>20</v>
      </c>
      <c r="D1678" t="s">
        <v>1</v>
      </c>
      <c r="E1678" s="8">
        <v>45076</v>
      </c>
      <c r="F1678">
        <v>157</v>
      </c>
    </row>
    <row r="1679" spans="1:6" x14ac:dyDescent="0.25">
      <c r="A1679" t="s">
        <v>52</v>
      </c>
      <c r="B1679">
        <v>1</v>
      </c>
      <c r="C1679" t="s">
        <v>20</v>
      </c>
      <c r="D1679" t="s">
        <v>1</v>
      </c>
      <c r="E1679" s="8">
        <v>45077</v>
      </c>
      <c r="F1679">
        <v>45</v>
      </c>
    </row>
    <row r="1680" spans="1:6" x14ac:dyDescent="0.25">
      <c r="A1680" t="s">
        <v>52</v>
      </c>
      <c r="B1680">
        <v>1</v>
      </c>
      <c r="C1680" t="s">
        <v>20</v>
      </c>
      <c r="D1680" t="s">
        <v>1</v>
      </c>
      <c r="E1680" s="8">
        <v>45263</v>
      </c>
      <c r="F1680">
        <v>9</v>
      </c>
    </row>
    <row r="1681" spans="1:6" x14ac:dyDescent="0.25">
      <c r="A1681" t="s">
        <v>52</v>
      </c>
      <c r="B1681">
        <v>1</v>
      </c>
      <c r="C1681" t="s">
        <v>20</v>
      </c>
      <c r="D1681" t="s">
        <v>1</v>
      </c>
      <c r="E1681" s="8">
        <v>45264</v>
      </c>
      <c r="F1681">
        <v>9</v>
      </c>
    </row>
    <row r="1682" spans="1:6" x14ac:dyDescent="0.25">
      <c r="A1682" t="s">
        <v>52</v>
      </c>
      <c r="B1682">
        <v>1</v>
      </c>
      <c r="C1682" t="s">
        <v>20</v>
      </c>
      <c r="D1682" t="s">
        <v>1</v>
      </c>
      <c r="E1682" s="8">
        <v>45265</v>
      </c>
      <c r="F1682">
        <v>50</v>
      </c>
    </row>
    <row r="1683" spans="1:6" x14ac:dyDescent="0.25">
      <c r="A1683" t="s">
        <v>52</v>
      </c>
      <c r="B1683">
        <v>2</v>
      </c>
      <c r="C1683" t="s">
        <v>22</v>
      </c>
      <c r="D1683" t="s">
        <v>2</v>
      </c>
      <c r="E1683" s="8">
        <v>45132</v>
      </c>
      <c r="F1683">
        <v>41</v>
      </c>
    </row>
    <row r="1684" spans="1:6" x14ac:dyDescent="0.25">
      <c r="A1684" t="s">
        <v>52</v>
      </c>
      <c r="B1684">
        <v>2</v>
      </c>
      <c r="C1684" t="s">
        <v>22</v>
      </c>
      <c r="D1684" t="s">
        <v>2</v>
      </c>
      <c r="E1684" s="8">
        <v>45133</v>
      </c>
      <c r="F1684">
        <v>186</v>
      </c>
    </row>
    <row r="1685" spans="1:6" x14ac:dyDescent="0.25">
      <c r="A1685" t="s">
        <v>52</v>
      </c>
      <c r="B1685">
        <v>2</v>
      </c>
      <c r="C1685" t="s">
        <v>22</v>
      </c>
      <c r="D1685" t="s">
        <v>2</v>
      </c>
      <c r="E1685" s="8">
        <v>45134</v>
      </c>
      <c r="F1685">
        <v>167</v>
      </c>
    </row>
    <row r="1686" spans="1:6" x14ac:dyDescent="0.25">
      <c r="A1686" t="s">
        <v>52</v>
      </c>
      <c r="B1686">
        <v>2</v>
      </c>
      <c r="C1686" t="s">
        <v>22</v>
      </c>
      <c r="D1686" t="s">
        <v>2</v>
      </c>
      <c r="E1686" s="8">
        <v>45135</v>
      </c>
      <c r="F1686">
        <v>102</v>
      </c>
    </row>
    <row r="1687" spans="1:6" x14ac:dyDescent="0.25">
      <c r="A1687" t="s">
        <v>52</v>
      </c>
      <c r="B1687">
        <v>2</v>
      </c>
      <c r="C1687" t="s">
        <v>22</v>
      </c>
      <c r="D1687" t="s">
        <v>2</v>
      </c>
      <c r="E1687" s="8">
        <v>45137</v>
      </c>
      <c r="F1687">
        <v>194</v>
      </c>
    </row>
    <row r="1688" spans="1:6" x14ac:dyDescent="0.25">
      <c r="A1688" t="s">
        <v>52</v>
      </c>
      <c r="B1688">
        <v>2</v>
      </c>
      <c r="C1688" t="s">
        <v>22</v>
      </c>
      <c r="D1688" t="s">
        <v>2</v>
      </c>
      <c r="E1688" s="8">
        <v>45138</v>
      </c>
      <c r="F1688">
        <v>81</v>
      </c>
    </row>
    <row r="1689" spans="1:6" x14ac:dyDescent="0.25">
      <c r="A1689" t="s">
        <v>52</v>
      </c>
      <c r="B1689">
        <v>2</v>
      </c>
      <c r="C1689" t="s">
        <v>22</v>
      </c>
      <c r="D1689" t="s">
        <v>2</v>
      </c>
      <c r="E1689" s="8">
        <v>45141</v>
      </c>
      <c r="F1689">
        <v>153</v>
      </c>
    </row>
    <row r="1690" spans="1:6" x14ac:dyDescent="0.25">
      <c r="A1690" t="s">
        <v>52</v>
      </c>
      <c r="B1690">
        <v>2</v>
      </c>
      <c r="C1690" t="s">
        <v>22</v>
      </c>
      <c r="D1690" t="s">
        <v>2</v>
      </c>
      <c r="E1690" s="8">
        <v>45142</v>
      </c>
      <c r="F1690">
        <v>28</v>
      </c>
    </row>
    <row r="1691" spans="1:6" x14ac:dyDescent="0.25">
      <c r="A1691" t="s">
        <v>52</v>
      </c>
      <c r="B1691">
        <v>2</v>
      </c>
      <c r="C1691" t="s">
        <v>23</v>
      </c>
      <c r="D1691" t="s">
        <v>2</v>
      </c>
      <c r="E1691" s="8">
        <v>45048</v>
      </c>
      <c r="F1691">
        <v>123</v>
      </c>
    </row>
    <row r="1692" spans="1:6" x14ac:dyDescent="0.25">
      <c r="A1692" t="s">
        <v>52</v>
      </c>
      <c r="B1692">
        <v>2</v>
      </c>
      <c r="C1692" t="s">
        <v>23</v>
      </c>
      <c r="D1692" t="s">
        <v>2</v>
      </c>
      <c r="E1692" s="8">
        <v>45049</v>
      </c>
      <c r="F1692">
        <v>98</v>
      </c>
    </row>
    <row r="1693" spans="1:6" x14ac:dyDescent="0.25">
      <c r="A1693" t="s">
        <v>52</v>
      </c>
      <c r="B1693">
        <v>2</v>
      </c>
      <c r="C1693" t="s">
        <v>23</v>
      </c>
      <c r="D1693" t="s">
        <v>2</v>
      </c>
      <c r="E1693" s="8">
        <v>45050</v>
      </c>
      <c r="F1693">
        <v>77</v>
      </c>
    </row>
    <row r="1694" spans="1:6" x14ac:dyDescent="0.25">
      <c r="A1694" t="s">
        <v>52</v>
      </c>
      <c r="B1694">
        <v>2</v>
      </c>
      <c r="C1694" t="s">
        <v>23</v>
      </c>
      <c r="D1694" t="s">
        <v>2</v>
      </c>
      <c r="E1694" s="8">
        <v>45051</v>
      </c>
      <c r="F1694">
        <v>83</v>
      </c>
    </row>
    <row r="1695" spans="1:6" x14ac:dyDescent="0.25">
      <c r="A1695" t="s">
        <v>52</v>
      </c>
      <c r="B1695">
        <v>2</v>
      </c>
      <c r="C1695" t="s">
        <v>23</v>
      </c>
      <c r="D1695" t="s">
        <v>2</v>
      </c>
      <c r="E1695" s="8">
        <v>45052</v>
      </c>
      <c r="F1695">
        <v>74</v>
      </c>
    </row>
    <row r="1696" spans="1:6" x14ac:dyDescent="0.25">
      <c r="A1696" t="s">
        <v>52</v>
      </c>
      <c r="B1696">
        <v>2</v>
      </c>
      <c r="C1696" t="s">
        <v>23</v>
      </c>
      <c r="D1696" t="s">
        <v>2</v>
      </c>
      <c r="E1696" s="8">
        <v>45054</v>
      </c>
      <c r="F1696">
        <v>53</v>
      </c>
    </row>
    <row r="1697" spans="1:6" x14ac:dyDescent="0.25">
      <c r="A1697" t="s">
        <v>52</v>
      </c>
      <c r="B1697">
        <v>2</v>
      </c>
      <c r="C1697" t="s">
        <v>23</v>
      </c>
      <c r="D1697" t="s">
        <v>2</v>
      </c>
      <c r="E1697" s="8">
        <v>45055</v>
      </c>
      <c r="F1697">
        <v>28</v>
      </c>
    </row>
    <row r="1698" spans="1:6" x14ac:dyDescent="0.25">
      <c r="A1698" t="s">
        <v>52</v>
      </c>
      <c r="B1698">
        <v>2</v>
      </c>
      <c r="C1698" t="s">
        <v>23</v>
      </c>
      <c r="D1698" t="s">
        <v>2</v>
      </c>
      <c r="E1698" s="8">
        <v>45056</v>
      </c>
      <c r="F1698">
        <v>255</v>
      </c>
    </row>
    <row r="1699" spans="1:6" x14ac:dyDescent="0.25">
      <c r="A1699" t="s">
        <v>52</v>
      </c>
      <c r="B1699">
        <v>2</v>
      </c>
      <c r="C1699" t="s">
        <v>23</v>
      </c>
      <c r="D1699" t="s">
        <v>2</v>
      </c>
      <c r="E1699" s="8">
        <v>45057</v>
      </c>
      <c r="F1699">
        <v>350</v>
      </c>
    </row>
    <row r="1700" spans="1:6" x14ac:dyDescent="0.25">
      <c r="A1700" t="s">
        <v>52</v>
      </c>
      <c r="B1700">
        <v>2</v>
      </c>
      <c r="C1700" t="s">
        <v>23</v>
      </c>
      <c r="D1700" t="s">
        <v>2</v>
      </c>
      <c r="E1700" s="8">
        <v>45058</v>
      </c>
      <c r="F1700">
        <v>140</v>
      </c>
    </row>
    <row r="1701" spans="1:6" x14ac:dyDescent="0.25">
      <c r="A1701" t="s">
        <v>52</v>
      </c>
      <c r="B1701">
        <v>2</v>
      </c>
      <c r="C1701" t="s">
        <v>23</v>
      </c>
      <c r="D1701" t="s">
        <v>2</v>
      </c>
      <c r="E1701" s="8">
        <v>45059</v>
      </c>
      <c r="F1701">
        <v>220</v>
      </c>
    </row>
    <row r="1702" spans="1:6" x14ac:dyDescent="0.25">
      <c r="A1702" t="s">
        <v>52</v>
      </c>
      <c r="B1702">
        <v>2</v>
      </c>
      <c r="C1702" t="s">
        <v>23</v>
      </c>
      <c r="D1702" t="s">
        <v>2</v>
      </c>
      <c r="E1702" s="8">
        <v>45060</v>
      </c>
      <c r="F1702">
        <v>87</v>
      </c>
    </row>
    <row r="1703" spans="1:6" x14ac:dyDescent="0.25">
      <c r="A1703" t="s">
        <v>52</v>
      </c>
      <c r="B1703">
        <v>2</v>
      </c>
      <c r="C1703" t="s">
        <v>23</v>
      </c>
      <c r="D1703" t="s">
        <v>2</v>
      </c>
      <c r="E1703" s="8">
        <v>45065</v>
      </c>
      <c r="F1703">
        <v>171</v>
      </c>
    </row>
    <row r="1704" spans="1:6" x14ac:dyDescent="0.25">
      <c r="A1704" t="s">
        <v>52</v>
      </c>
      <c r="B1704">
        <v>2</v>
      </c>
      <c r="C1704" t="s">
        <v>23</v>
      </c>
      <c r="D1704" t="s">
        <v>2</v>
      </c>
      <c r="E1704" s="8">
        <v>45066</v>
      </c>
      <c r="F1704">
        <v>169</v>
      </c>
    </row>
    <row r="1705" spans="1:6" x14ac:dyDescent="0.25">
      <c r="A1705" t="s">
        <v>52</v>
      </c>
      <c r="B1705">
        <v>2</v>
      </c>
      <c r="C1705" t="s">
        <v>23</v>
      </c>
      <c r="D1705" t="s">
        <v>2</v>
      </c>
      <c r="E1705" s="8">
        <v>45067</v>
      </c>
      <c r="F1705">
        <v>162</v>
      </c>
    </row>
    <row r="1706" spans="1:6" x14ac:dyDescent="0.25">
      <c r="A1706" t="s">
        <v>52</v>
      </c>
      <c r="B1706">
        <v>2</v>
      </c>
      <c r="C1706" t="s">
        <v>23</v>
      </c>
      <c r="D1706" t="s">
        <v>2</v>
      </c>
      <c r="E1706" s="8">
        <v>45068</v>
      </c>
      <c r="F1706">
        <v>232</v>
      </c>
    </row>
    <row r="1707" spans="1:6" x14ac:dyDescent="0.25">
      <c r="A1707" t="s">
        <v>52</v>
      </c>
      <c r="B1707">
        <v>2</v>
      </c>
      <c r="C1707" t="s">
        <v>23</v>
      </c>
      <c r="D1707" t="s">
        <v>2</v>
      </c>
      <c r="E1707" s="8">
        <v>45069</v>
      </c>
      <c r="F1707">
        <v>282</v>
      </c>
    </row>
    <row r="1708" spans="1:6" x14ac:dyDescent="0.25">
      <c r="A1708" t="s">
        <v>52</v>
      </c>
      <c r="B1708">
        <v>2</v>
      </c>
      <c r="C1708" t="s">
        <v>23</v>
      </c>
      <c r="D1708" t="s">
        <v>2</v>
      </c>
      <c r="E1708" s="8">
        <v>45070</v>
      </c>
      <c r="F1708">
        <v>154</v>
      </c>
    </row>
    <row r="1709" spans="1:6" x14ac:dyDescent="0.25">
      <c r="A1709" t="s">
        <v>52</v>
      </c>
      <c r="B1709">
        <v>2</v>
      </c>
      <c r="C1709" t="s">
        <v>23</v>
      </c>
      <c r="D1709" t="s">
        <v>2</v>
      </c>
      <c r="E1709" s="8">
        <v>45093</v>
      </c>
      <c r="F1709">
        <v>151</v>
      </c>
    </row>
    <row r="1710" spans="1:6" x14ac:dyDescent="0.25">
      <c r="A1710" t="s">
        <v>52</v>
      </c>
      <c r="B1710">
        <v>2</v>
      </c>
      <c r="C1710" t="s">
        <v>23</v>
      </c>
      <c r="D1710" t="s">
        <v>2</v>
      </c>
      <c r="E1710" s="8">
        <v>45094</v>
      </c>
      <c r="F1710">
        <v>70</v>
      </c>
    </row>
    <row r="1711" spans="1:6" x14ac:dyDescent="0.25">
      <c r="A1711" t="s">
        <v>52</v>
      </c>
      <c r="B1711">
        <v>2</v>
      </c>
      <c r="C1711" t="s">
        <v>23</v>
      </c>
      <c r="D1711" t="s">
        <v>2</v>
      </c>
      <c r="E1711" s="8">
        <v>45095</v>
      </c>
      <c r="F1711">
        <v>1</v>
      </c>
    </row>
    <row r="1712" spans="1:6" x14ac:dyDescent="0.25">
      <c r="A1712" t="s">
        <v>52</v>
      </c>
      <c r="B1712">
        <v>2</v>
      </c>
      <c r="C1712" t="s">
        <v>23</v>
      </c>
      <c r="D1712" t="s">
        <v>2</v>
      </c>
      <c r="E1712" s="8">
        <v>45096</v>
      </c>
      <c r="F1712">
        <v>174</v>
      </c>
    </row>
    <row r="1713" spans="1:6" x14ac:dyDescent="0.25">
      <c r="A1713" t="s">
        <v>52</v>
      </c>
      <c r="B1713">
        <v>2</v>
      </c>
      <c r="C1713" t="s">
        <v>23</v>
      </c>
      <c r="D1713" t="s">
        <v>2</v>
      </c>
      <c r="E1713" s="8">
        <v>45099</v>
      </c>
      <c r="F1713">
        <v>57</v>
      </c>
    </row>
    <row r="1714" spans="1:6" x14ac:dyDescent="0.25">
      <c r="A1714" t="s">
        <v>52</v>
      </c>
      <c r="B1714">
        <v>2</v>
      </c>
      <c r="C1714" t="s">
        <v>23</v>
      </c>
      <c r="D1714" t="s">
        <v>2</v>
      </c>
      <c r="E1714" s="8">
        <v>45100</v>
      </c>
      <c r="F1714">
        <v>112</v>
      </c>
    </row>
    <row r="1715" spans="1:6" x14ac:dyDescent="0.25">
      <c r="A1715" t="s">
        <v>52</v>
      </c>
      <c r="B1715">
        <v>2</v>
      </c>
      <c r="C1715" t="s">
        <v>23</v>
      </c>
      <c r="D1715" t="s">
        <v>2</v>
      </c>
      <c r="E1715" s="8">
        <v>45101</v>
      </c>
      <c r="F1715">
        <v>166</v>
      </c>
    </row>
    <row r="1716" spans="1:6" x14ac:dyDescent="0.25">
      <c r="A1716" t="s">
        <v>52</v>
      </c>
      <c r="B1716">
        <v>2</v>
      </c>
      <c r="C1716" t="s">
        <v>23</v>
      </c>
      <c r="D1716" t="s">
        <v>2</v>
      </c>
      <c r="E1716" s="8">
        <v>45102</v>
      </c>
      <c r="F1716">
        <v>52</v>
      </c>
    </row>
    <row r="1717" spans="1:6" x14ac:dyDescent="0.25">
      <c r="A1717" t="s">
        <v>52</v>
      </c>
      <c r="B1717">
        <v>2</v>
      </c>
      <c r="C1717" t="s">
        <v>23</v>
      </c>
      <c r="D1717" t="s">
        <v>2</v>
      </c>
      <c r="E1717" s="8">
        <v>45103</v>
      </c>
      <c r="F1717">
        <v>44</v>
      </c>
    </row>
    <row r="1718" spans="1:6" x14ac:dyDescent="0.25">
      <c r="A1718" t="s">
        <v>52</v>
      </c>
      <c r="B1718">
        <v>2</v>
      </c>
      <c r="C1718" t="s">
        <v>23</v>
      </c>
      <c r="D1718" t="s">
        <v>2</v>
      </c>
      <c r="E1718" s="8">
        <v>45104</v>
      </c>
      <c r="F1718">
        <v>216</v>
      </c>
    </row>
    <row r="1719" spans="1:6" x14ac:dyDescent="0.25">
      <c r="A1719" t="s">
        <v>52</v>
      </c>
      <c r="B1719">
        <v>2</v>
      </c>
      <c r="C1719" t="s">
        <v>23</v>
      </c>
      <c r="D1719" t="s">
        <v>2</v>
      </c>
      <c r="E1719" s="8">
        <v>45105</v>
      </c>
      <c r="F1719">
        <v>84</v>
      </c>
    </row>
    <row r="1720" spans="1:6" x14ac:dyDescent="0.25">
      <c r="A1720" t="s">
        <v>52</v>
      </c>
      <c r="B1720">
        <v>2</v>
      </c>
      <c r="C1720" t="s">
        <v>23</v>
      </c>
      <c r="D1720" t="s">
        <v>2</v>
      </c>
      <c r="E1720" s="8">
        <v>45107</v>
      </c>
      <c r="F1720">
        <v>245</v>
      </c>
    </row>
    <row r="1721" spans="1:6" x14ac:dyDescent="0.25">
      <c r="A1721" t="s">
        <v>52</v>
      </c>
      <c r="B1721">
        <v>2</v>
      </c>
      <c r="C1721" t="s">
        <v>23</v>
      </c>
      <c r="D1721" t="s">
        <v>2</v>
      </c>
      <c r="E1721" s="8">
        <v>45109</v>
      </c>
      <c r="F1721">
        <v>124</v>
      </c>
    </row>
    <row r="1722" spans="1:6" x14ac:dyDescent="0.25">
      <c r="A1722" t="s">
        <v>52</v>
      </c>
      <c r="B1722">
        <v>2</v>
      </c>
      <c r="C1722" t="s">
        <v>23</v>
      </c>
      <c r="D1722" t="s">
        <v>2</v>
      </c>
      <c r="E1722" s="8">
        <v>45111</v>
      </c>
      <c r="F1722">
        <v>35</v>
      </c>
    </row>
    <row r="1723" spans="1:6" x14ac:dyDescent="0.25">
      <c r="A1723" t="s">
        <v>52</v>
      </c>
      <c r="B1723">
        <v>2</v>
      </c>
      <c r="C1723" t="s">
        <v>23</v>
      </c>
      <c r="D1723" t="s">
        <v>2</v>
      </c>
      <c r="E1723" s="8">
        <v>45112</v>
      </c>
      <c r="F1723">
        <v>75</v>
      </c>
    </row>
    <row r="1724" spans="1:6" x14ac:dyDescent="0.25">
      <c r="A1724" t="s">
        <v>52</v>
      </c>
      <c r="B1724">
        <v>2</v>
      </c>
      <c r="C1724" t="s">
        <v>23</v>
      </c>
      <c r="D1724" t="s">
        <v>2</v>
      </c>
      <c r="E1724" s="8">
        <v>45113</v>
      </c>
      <c r="F1724">
        <v>149</v>
      </c>
    </row>
    <row r="1725" spans="1:6" x14ac:dyDescent="0.25">
      <c r="A1725" t="s">
        <v>52</v>
      </c>
      <c r="B1725">
        <v>2</v>
      </c>
      <c r="C1725" t="s">
        <v>23</v>
      </c>
      <c r="D1725" t="s">
        <v>2</v>
      </c>
      <c r="E1725" s="8">
        <v>45114</v>
      </c>
      <c r="F1725">
        <v>164</v>
      </c>
    </row>
    <row r="1726" spans="1:6" x14ac:dyDescent="0.25">
      <c r="A1726" t="s">
        <v>52</v>
      </c>
      <c r="B1726">
        <v>2</v>
      </c>
      <c r="C1726" t="s">
        <v>23</v>
      </c>
      <c r="D1726" t="s">
        <v>2</v>
      </c>
      <c r="E1726" s="8">
        <v>45115</v>
      </c>
      <c r="F1726">
        <v>158</v>
      </c>
    </row>
    <row r="1727" spans="1:6" x14ac:dyDescent="0.25">
      <c r="A1727" t="s">
        <v>52</v>
      </c>
      <c r="B1727">
        <v>2</v>
      </c>
      <c r="C1727" t="s">
        <v>23</v>
      </c>
      <c r="D1727" t="s">
        <v>2</v>
      </c>
      <c r="E1727" s="8">
        <v>45116</v>
      </c>
      <c r="F1727">
        <v>228</v>
      </c>
    </row>
    <row r="1728" spans="1:6" x14ac:dyDescent="0.25">
      <c r="A1728" t="s">
        <v>52</v>
      </c>
      <c r="B1728">
        <v>2</v>
      </c>
      <c r="C1728" t="s">
        <v>23</v>
      </c>
      <c r="D1728" t="s">
        <v>2</v>
      </c>
      <c r="E1728" s="8">
        <v>45117</v>
      </c>
      <c r="F1728">
        <v>47</v>
      </c>
    </row>
    <row r="1729" spans="1:6" x14ac:dyDescent="0.25">
      <c r="A1729" t="s">
        <v>52</v>
      </c>
      <c r="B1729">
        <v>2</v>
      </c>
      <c r="C1729" t="s">
        <v>23</v>
      </c>
      <c r="D1729" t="s">
        <v>2</v>
      </c>
      <c r="E1729" s="8">
        <v>45118</v>
      </c>
      <c r="F1729">
        <v>231</v>
      </c>
    </row>
    <row r="1730" spans="1:6" x14ac:dyDescent="0.25">
      <c r="A1730" t="s">
        <v>52</v>
      </c>
      <c r="B1730">
        <v>2</v>
      </c>
      <c r="C1730" t="s">
        <v>23</v>
      </c>
      <c r="D1730" t="s">
        <v>2</v>
      </c>
      <c r="E1730" s="8">
        <v>45119</v>
      </c>
      <c r="F1730">
        <v>162</v>
      </c>
    </row>
    <row r="1731" spans="1:6" x14ac:dyDescent="0.25">
      <c r="A1731" t="s">
        <v>52</v>
      </c>
      <c r="B1731">
        <v>2</v>
      </c>
      <c r="C1731" t="s">
        <v>23</v>
      </c>
      <c r="D1731" t="s">
        <v>2</v>
      </c>
      <c r="E1731" s="8">
        <v>45120</v>
      </c>
      <c r="F1731">
        <v>172</v>
      </c>
    </row>
    <row r="1732" spans="1:6" x14ac:dyDescent="0.25">
      <c r="A1732" t="s">
        <v>52</v>
      </c>
      <c r="B1732">
        <v>2</v>
      </c>
      <c r="C1732" t="s">
        <v>23</v>
      </c>
      <c r="D1732" t="s">
        <v>2</v>
      </c>
      <c r="E1732" s="8">
        <v>45121</v>
      </c>
      <c r="F1732">
        <v>231</v>
      </c>
    </row>
    <row r="1733" spans="1:6" x14ac:dyDescent="0.25">
      <c r="A1733" t="s">
        <v>52</v>
      </c>
      <c r="B1733">
        <v>2</v>
      </c>
      <c r="C1733" t="s">
        <v>23</v>
      </c>
      <c r="D1733" t="s">
        <v>2</v>
      </c>
      <c r="E1733" s="8">
        <v>45123</v>
      </c>
      <c r="F1733">
        <v>3</v>
      </c>
    </row>
    <row r="1734" spans="1:6" x14ac:dyDescent="0.25">
      <c r="A1734" t="s">
        <v>52</v>
      </c>
      <c r="B1734">
        <v>2</v>
      </c>
      <c r="C1734" t="s">
        <v>24</v>
      </c>
      <c r="D1734" t="s">
        <v>3</v>
      </c>
      <c r="E1734" s="8">
        <v>45060</v>
      </c>
      <c r="F1734">
        <v>102</v>
      </c>
    </row>
    <row r="1735" spans="1:6" x14ac:dyDescent="0.25">
      <c r="A1735" t="s">
        <v>52</v>
      </c>
      <c r="B1735">
        <v>2</v>
      </c>
      <c r="C1735" t="s">
        <v>24</v>
      </c>
      <c r="D1735" t="s">
        <v>3</v>
      </c>
      <c r="E1735" s="8">
        <v>45061</v>
      </c>
      <c r="F1735">
        <v>112</v>
      </c>
    </row>
    <row r="1736" spans="1:6" x14ac:dyDescent="0.25">
      <c r="A1736" t="s">
        <v>52</v>
      </c>
      <c r="B1736">
        <v>2</v>
      </c>
      <c r="C1736" t="s">
        <v>24</v>
      </c>
      <c r="D1736" t="s">
        <v>3</v>
      </c>
      <c r="E1736" s="8">
        <v>45062</v>
      </c>
      <c r="F1736">
        <v>311</v>
      </c>
    </row>
    <row r="1737" spans="1:6" x14ac:dyDescent="0.25">
      <c r="A1737" t="s">
        <v>52</v>
      </c>
      <c r="B1737">
        <v>2</v>
      </c>
      <c r="C1737" t="s">
        <v>24</v>
      </c>
      <c r="D1737" t="s">
        <v>3</v>
      </c>
      <c r="E1737" s="8">
        <v>45063</v>
      </c>
      <c r="F1737">
        <v>191</v>
      </c>
    </row>
    <row r="1738" spans="1:6" x14ac:dyDescent="0.25">
      <c r="A1738" t="s">
        <v>52</v>
      </c>
      <c r="B1738">
        <v>2</v>
      </c>
      <c r="C1738" t="s">
        <v>24</v>
      </c>
      <c r="D1738" t="s">
        <v>3</v>
      </c>
      <c r="E1738" s="8">
        <v>45064</v>
      </c>
      <c r="F1738">
        <v>77</v>
      </c>
    </row>
    <row r="1739" spans="1:6" x14ac:dyDescent="0.25">
      <c r="A1739" t="s">
        <v>52</v>
      </c>
      <c r="B1739">
        <v>2</v>
      </c>
      <c r="C1739" t="s">
        <v>24</v>
      </c>
      <c r="D1739" t="s">
        <v>3</v>
      </c>
      <c r="E1739" s="8">
        <v>45065</v>
      </c>
      <c r="F1739">
        <v>253</v>
      </c>
    </row>
    <row r="1740" spans="1:6" x14ac:dyDescent="0.25">
      <c r="A1740" t="s">
        <v>52</v>
      </c>
      <c r="B1740">
        <v>2</v>
      </c>
      <c r="C1740" t="s">
        <v>24</v>
      </c>
      <c r="D1740" t="s">
        <v>3</v>
      </c>
      <c r="E1740" s="8">
        <v>45066</v>
      </c>
      <c r="F1740">
        <v>152</v>
      </c>
    </row>
    <row r="1741" spans="1:6" x14ac:dyDescent="0.25">
      <c r="A1741" t="s">
        <v>52</v>
      </c>
      <c r="B1741">
        <v>2</v>
      </c>
      <c r="C1741" t="s">
        <v>24</v>
      </c>
      <c r="D1741" t="s">
        <v>3</v>
      </c>
      <c r="E1741" s="8">
        <v>45067</v>
      </c>
      <c r="F1741">
        <v>150</v>
      </c>
    </row>
    <row r="1742" spans="1:6" x14ac:dyDescent="0.25">
      <c r="A1742" t="s">
        <v>52</v>
      </c>
      <c r="B1742">
        <v>2</v>
      </c>
      <c r="C1742" t="s">
        <v>24</v>
      </c>
      <c r="D1742" t="s">
        <v>3</v>
      </c>
      <c r="E1742" s="8">
        <v>45068</v>
      </c>
      <c r="F1742">
        <v>185</v>
      </c>
    </row>
    <row r="1743" spans="1:6" x14ac:dyDescent="0.25">
      <c r="A1743" t="s">
        <v>52</v>
      </c>
      <c r="B1743">
        <v>2</v>
      </c>
      <c r="C1743" t="s">
        <v>24</v>
      </c>
      <c r="D1743" t="s">
        <v>3</v>
      </c>
      <c r="E1743" s="8">
        <v>45069</v>
      </c>
      <c r="F1743">
        <v>139</v>
      </c>
    </row>
    <row r="1744" spans="1:6" x14ac:dyDescent="0.25">
      <c r="A1744" t="s">
        <v>52</v>
      </c>
      <c r="B1744">
        <v>2</v>
      </c>
      <c r="C1744" t="s">
        <v>24</v>
      </c>
      <c r="D1744" t="s">
        <v>3</v>
      </c>
      <c r="E1744" s="8">
        <v>45070</v>
      </c>
      <c r="F1744">
        <v>167</v>
      </c>
    </row>
    <row r="1745" spans="1:6" x14ac:dyDescent="0.25">
      <c r="A1745" t="s">
        <v>52</v>
      </c>
      <c r="B1745">
        <v>2</v>
      </c>
      <c r="C1745" t="s">
        <v>24</v>
      </c>
      <c r="D1745" t="s">
        <v>3</v>
      </c>
      <c r="E1745" s="8">
        <v>45071</v>
      </c>
      <c r="F1745">
        <v>17</v>
      </c>
    </row>
    <row r="1746" spans="1:6" x14ac:dyDescent="0.25">
      <c r="A1746" t="s">
        <v>52</v>
      </c>
      <c r="B1746">
        <v>2</v>
      </c>
      <c r="C1746" t="s">
        <v>24</v>
      </c>
      <c r="D1746" t="s">
        <v>3</v>
      </c>
      <c r="E1746" s="8">
        <v>45072</v>
      </c>
      <c r="F1746">
        <v>51</v>
      </c>
    </row>
    <row r="1747" spans="1:6" x14ac:dyDescent="0.25">
      <c r="A1747" t="s">
        <v>52</v>
      </c>
      <c r="B1747">
        <v>2</v>
      </c>
      <c r="C1747" t="s">
        <v>24</v>
      </c>
      <c r="D1747" t="s">
        <v>3</v>
      </c>
      <c r="E1747" s="8">
        <v>45073</v>
      </c>
      <c r="F1747">
        <v>302</v>
      </c>
    </row>
    <row r="1748" spans="1:6" x14ac:dyDescent="0.25">
      <c r="A1748" t="s">
        <v>52</v>
      </c>
      <c r="B1748">
        <v>2</v>
      </c>
      <c r="C1748" t="s">
        <v>25</v>
      </c>
      <c r="D1748" t="s">
        <v>3</v>
      </c>
      <c r="E1748" s="8">
        <v>45098</v>
      </c>
      <c r="F1748">
        <v>57</v>
      </c>
    </row>
    <row r="1749" spans="1:6" x14ac:dyDescent="0.25">
      <c r="A1749" t="s">
        <v>52</v>
      </c>
      <c r="B1749">
        <v>2</v>
      </c>
      <c r="C1749" t="s">
        <v>25</v>
      </c>
      <c r="D1749" t="s">
        <v>3</v>
      </c>
      <c r="E1749" s="8">
        <v>45099</v>
      </c>
      <c r="F1749">
        <v>290</v>
      </c>
    </row>
    <row r="1750" spans="1:6" x14ac:dyDescent="0.25">
      <c r="A1750" t="s">
        <v>52</v>
      </c>
      <c r="B1750">
        <v>2</v>
      </c>
      <c r="C1750" t="s">
        <v>25</v>
      </c>
      <c r="D1750" t="s">
        <v>3</v>
      </c>
      <c r="E1750" s="8">
        <v>45100</v>
      </c>
      <c r="F1750">
        <v>260</v>
      </c>
    </row>
    <row r="1751" spans="1:6" x14ac:dyDescent="0.25">
      <c r="A1751" t="s">
        <v>52</v>
      </c>
      <c r="B1751">
        <v>2</v>
      </c>
      <c r="C1751" t="s">
        <v>25</v>
      </c>
      <c r="D1751" t="s">
        <v>3</v>
      </c>
      <c r="E1751" s="8">
        <v>45101</v>
      </c>
      <c r="F1751">
        <v>249</v>
      </c>
    </row>
    <row r="1752" spans="1:6" x14ac:dyDescent="0.25">
      <c r="A1752" t="s">
        <v>52</v>
      </c>
      <c r="B1752">
        <v>2</v>
      </c>
      <c r="C1752" t="s">
        <v>25</v>
      </c>
      <c r="D1752" t="s">
        <v>3</v>
      </c>
      <c r="E1752" s="8">
        <v>45103</v>
      </c>
      <c r="F1752">
        <v>231</v>
      </c>
    </row>
    <row r="1753" spans="1:6" x14ac:dyDescent="0.25">
      <c r="A1753" t="s">
        <v>52</v>
      </c>
      <c r="B1753">
        <v>2</v>
      </c>
      <c r="C1753" t="s">
        <v>25</v>
      </c>
      <c r="D1753" t="s">
        <v>3</v>
      </c>
      <c r="E1753" s="8">
        <v>45104</v>
      </c>
      <c r="F1753">
        <v>206</v>
      </c>
    </row>
    <row r="1754" spans="1:6" x14ac:dyDescent="0.25">
      <c r="A1754" t="s">
        <v>52</v>
      </c>
      <c r="B1754">
        <v>2</v>
      </c>
      <c r="C1754" t="s">
        <v>25</v>
      </c>
      <c r="D1754" t="s">
        <v>3</v>
      </c>
      <c r="E1754" s="8">
        <v>45105</v>
      </c>
      <c r="F1754">
        <v>154</v>
      </c>
    </row>
    <row r="1755" spans="1:6" x14ac:dyDescent="0.25">
      <c r="A1755" t="s">
        <v>52</v>
      </c>
      <c r="B1755">
        <v>2</v>
      </c>
      <c r="C1755" t="s">
        <v>25</v>
      </c>
      <c r="D1755" t="s">
        <v>3</v>
      </c>
      <c r="E1755" s="8">
        <v>45106</v>
      </c>
      <c r="F1755">
        <v>240</v>
      </c>
    </row>
    <row r="1756" spans="1:6" x14ac:dyDescent="0.25">
      <c r="A1756" t="s">
        <v>52</v>
      </c>
      <c r="B1756">
        <v>2</v>
      </c>
      <c r="C1756" t="s">
        <v>25</v>
      </c>
      <c r="D1756" t="s">
        <v>3</v>
      </c>
      <c r="E1756" s="8">
        <v>45107</v>
      </c>
      <c r="F1756">
        <v>230</v>
      </c>
    </row>
    <row r="1757" spans="1:6" x14ac:dyDescent="0.25">
      <c r="A1757" t="s">
        <v>52</v>
      </c>
      <c r="B1757">
        <v>2</v>
      </c>
      <c r="C1757" t="s">
        <v>25</v>
      </c>
      <c r="D1757" t="s">
        <v>3</v>
      </c>
      <c r="E1757" s="8">
        <v>45109</v>
      </c>
      <c r="F1757">
        <v>47</v>
      </c>
    </row>
    <row r="1758" spans="1:6" x14ac:dyDescent="0.25">
      <c r="A1758" t="s">
        <v>52</v>
      </c>
      <c r="B1758">
        <v>2</v>
      </c>
      <c r="C1758" t="s">
        <v>25</v>
      </c>
      <c r="D1758" t="s">
        <v>3</v>
      </c>
      <c r="E1758" s="8">
        <v>45122</v>
      </c>
      <c r="F1758">
        <v>75</v>
      </c>
    </row>
    <row r="1759" spans="1:6" x14ac:dyDescent="0.25">
      <c r="A1759" t="s">
        <v>52</v>
      </c>
      <c r="B1759">
        <v>2</v>
      </c>
      <c r="C1759" t="s">
        <v>25</v>
      </c>
      <c r="D1759" t="s">
        <v>3</v>
      </c>
      <c r="E1759" s="8">
        <v>45123</v>
      </c>
      <c r="F1759">
        <v>185</v>
      </c>
    </row>
    <row r="1760" spans="1:6" x14ac:dyDescent="0.25">
      <c r="A1760" t="s">
        <v>52</v>
      </c>
      <c r="B1760">
        <v>2</v>
      </c>
      <c r="C1760" t="s">
        <v>25</v>
      </c>
      <c r="D1760" t="s">
        <v>3</v>
      </c>
      <c r="E1760" s="8">
        <v>45124</v>
      </c>
      <c r="F1760">
        <v>288</v>
      </c>
    </row>
    <row r="1761" spans="1:6" x14ac:dyDescent="0.25">
      <c r="A1761" t="s">
        <v>52</v>
      </c>
      <c r="B1761">
        <v>2</v>
      </c>
      <c r="C1761" t="s">
        <v>25</v>
      </c>
      <c r="D1761" t="s">
        <v>3</v>
      </c>
      <c r="E1761" s="8">
        <v>45125</v>
      </c>
      <c r="F1761">
        <v>96</v>
      </c>
    </row>
    <row r="1762" spans="1:6" x14ac:dyDescent="0.25">
      <c r="A1762" t="s">
        <v>52</v>
      </c>
      <c r="B1762">
        <v>2</v>
      </c>
      <c r="C1762" t="s">
        <v>25</v>
      </c>
      <c r="D1762" t="s">
        <v>3</v>
      </c>
      <c r="E1762" s="8">
        <v>45126</v>
      </c>
      <c r="F1762">
        <v>168</v>
      </c>
    </row>
    <row r="1763" spans="1:6" x14ac:dyDescent="0.25">
      <c r="A1763" t="s">
        <v>52</v>
      </c>
      <c r="B1763">
        <v>2</v>
      </c>
      <c r="C1763" t="s">
        <v>25</v>
      </c>
      <c r="D1763" t="s">
        <v>3</v>
      </c>
      <c r="E1763" s="8">
        <v>45127</v>
      </c>
      <c r="F1763">
        <v>272</v>
      </c>
    </row>
    <row r="1764" spans="1:6" x14ac:dyDescent="0.25">
      <c r="A1764" t="s">
        <v>52</v>
      </c>
      <c r="B1764">
        <v>2</v>
      </c>
      <c r="C1764" t="s">
        <v>25</v>
      </c>
      <c r="D1764" t="s">
        <v>3</v>
      </c>
      <c r="E1764" s="8">
        <v>45128</v>
      </c>
      <c r="F1764">
        <v>237</v>
      </c>
    </row>
    <row r="1765" spans="1:6" x14ac:dyDescent="0.25">
      <c r="A1765" t="s">
        <v>52</v>
      </c>
      <c r="B1765">
        <v>2</v>
      </c>
      <c r="C1765" t="s">
        <v>25</v>
      </c>
      <c r="D1765" t="s">
        <v>3</v>
      </c>
      <c r="E1765" s="8">
        <v>45129</v>
      </c>
      <c r="F1765">
        <v>34</v>
      </c>
    </row>
    <row r="1766" spans="1:6" x14ac:dyDescent="0.25">
      <c r="A1766" t="s">
        <v>52</v>
      </c>
      <c r="B1766">
        <v>2</v>
      </c>
      <c r="C1766" t="s">
        <v>26</v>
      </c>
      <c r="D1766" t="s">
        <v>2</v>
      </c>
      <c r="E1766" s="8">
        <v>45132</v>
      </c>
      <c r="F1766">
        <v>193</v>
      </c>
    </row>
    <row r="1767" spans="1:6" x14ac:dyDescent="0.25">
      <c r="A1767" t="s">
        <v>52</v>
      </c>
      <c r="B1767">
        <v>2</v>
      </c>
      <c r="C1767" t="s">
        <v>26</v>
      </c>
      <c r="D1767" t="s">
        <v>2</v>
      </c>
      <c r="E1767" s="8">
        <v>45133</v>
      </c>
      <c r="F1767">
        <v>212</v>
      </c>
    </row>
    <row r="1768" spans="1:6" x14ac:dyDescent="0.25">
      <c r="A1768" t="s">
        <v>52</v>
      </c>
      <c r="B1768">
        <v>2</v>
      </c>
      <c r="C1768" t="s">
        <v>26</v>
      </c>
      <c r="D1768" t="s">
        <v>2</v>
      </c>
      <c r="E1768" s="8">
        <v>45134</v>
      </c>
      <c r="F1768">
        <v>211</v>
      </c>
    </row>
    <row r="1769" spans="1:6" x14ac:dyDescent="0.25">
      <c r="A1769" t="s">
        <v>52</v>
      </c>
      <c r="B1769">
        <v>2</v>
      </c>
      <c r="C1769" t="s">
        <v>26</v>
      </c>
      <c r="D1769" t="s">
        <v>2</v>
      </c>
      <c r="E1769" s="8">
        <v>45135</v>
      </c>
      <c r="F1769">
        <v>114</v>
      </c>
    </row>
    <row r="1770" spans="1:6" x14ac:dyDescent="0.25">
      <c r="A1770" t="s">
        <v>52</v>
      </c>
      <c r="B1770">
        <v>2</v>
      </c>
      <c r="C1770" t="s">
        <v>26</v>
      </c>
      <c r="D1770" t="s">
        <v>2</v>
      </c>
      <c r="E1770" s="8">
        <v>45136</v>
      </c>
      <c r="F1770">
        <v>131</v>
      </c>
    </row>
    <row r="1771" spans="1:6" x14ac:dyDescent="0.25">
      <c r="A1771" t="s">
        <v>52</v>
      </c>
      <c r="B1771">
        <v>2</v>
      </c>
      <c r="C1771" t="s">
        <v>26</v>
      </c>
      <c r="D1771" t="s">
        <v>2</v>
      </c>
      <c r="E1771" s="8">
        <v>45137</v>
      </c>
      <c r="F1771">
        <v>113</v>
      </c>
    </row>
    <row r="1772" spans="1:6" x14ac:dyDescent="0.25">
      <c r="A1772" t="s">
        <v>52</v>
      </c>
      <c r="B1772">
        <v>2</v>
      </c>
      <c r="C1772" t="s">
        <v>26</v>
      </c>
      <c r="D1772" t="s">
        <v>2</v>
      </c>
      <c r="E1772" s="8">
        <v>45138</v>
      </c>
      <c r="F1772">
        <v>123</v>
      </c>
    </row>
    <row r="1773" spans="1:6" x14ac:dyDescent="0.25">
      <c r="A1773" t="s">
        <v>52</v>
      </c>
      <c r="B1773">
        <v>2</v>
      </c>
      <c r="C1773" t="s">
        <v>26</v>
      </c>
      <c r="D1773" t="s">
        <v>2</v>
      </c>
      <c r="E1773" s="8">
        <v>45154</v>
      </c>
      <c r="F1773">
        <v>44</v>
      </c>
    </row>
    <row r="1774" spans="1:6" x14ac:dyDescent="0.25">
      <c r="A1774" t="s">
        <v>52</v>
      </c>
      <c r="B1774">
        <v>2</v>
      </c>
      <c r="C1774" t="s">
        <v>26</v>
      </c>
      <c r="D1774" t="s">
        <v>2</v>
      </c>
      <c r="E1774" s="8">
        <v>45155</v>
      </c>
      <c r="F1774">
        <v>113</v>
      </c>
    </row>
    <row r="1775" spans="1:6" x14ac:dyDescent="0.25">
      <c r="A1775" t="s">
        <v>52</v>
      </c>
      <c r="B1775">
        <v>2</v>
      </c>
      <c r="C1775" t="s">
        <v>26</v>
      </c>
      <c r="D1775" t="s">
        <v>2</v>
      </c>
      <c r="E1775" s="8">
        <v>45156</v>
      </c>
      <c r="F1775">
        <v>22</v>
      </c>
    </row>
    <row r="1776" spans="1:6" x14ac:dyDescent="0.25">
      <c r="A1776" t="s">
        <v>52</v>
      </c>
      <c r="B1776">
        <v>2</v>
      </c>
      <c r="C1776" t="s">
        <v>26</v>
      </c>
      <c r="D1776" t="s">
        <v>2</v>
      </c>
      <c r="E1776" s="8">
        <v>45157</v>
      </c>
      <c r="F1776">
        <v>50</v>
      </c>
    </row>
    <row r="1777" spans="1:6" x14ac:dyDescent="0.25">
      <c r="A1777" t="s">
        <v>52</v>
      </c>
      <c r="B1777">
        <v>2</v>
      </c>
      <c r="C1777" t="s">
        <v>26</v>
      </c>
      <c r="D1777" t="s">
        <v>2</v>
      </c>
      <c r="E1777" s="8">
        <v>45159</v>
      </c>
      <c r="F1777">
        <v>239</v>
      </c>
    </row>
    <row r="1778" spans="1:6" x14ac:dyDescent="0.25">
      <c r="A1778" t="s">
        <v>52</v>
      </c>
      <c r="B1778">
        <v>2</v>
      </c>
      <c r="C1778" t="s">
        <v>27</v>
      </c>
      <c r="D1778" t="s">
        <v>2</v>
      </c>
      <c r="E1778" s="8">
        <v>45143</v>
      </c>
      <c r="F1778">
        <v>98</v>
      </c>
    </row>
    <row r="1779" spans="1:6" x14ac:dyDescent="0.25">
      <c r="A1779" t="s">
        <v>52</v>
      </c>
      <c r="B1779">
        <v>2</v>
      </c>
      <c r="C1779" t="s">
        <v>27</v>
      </c>
      <c r="D1779" t="s">
        <v>2</v>
      </c>
      <c r="E1779" s="8">
        <v>45155</v>
      </c>
      <c r="F1779">
        <v>115</v>
      </c>
    </row>
    <row r="1780" spans="1:6" x14ac:dyDescent="0.25">
      <c r="A1780" t="s">
        <v>52</v>
      </c>
      <c r="B1780">
        <v>2</v>
      </c>
      <c r="C1780" t="s">
        <v>27</v>
      </c>
      <c r="D1780" t="s">
        <v>2</v>
      </c>
      <c r="E1780" s="8">
        <v>45157</v>
      </c>
      <c r="F1780">
        <v>45</v>
      </c>
    </row>
    <row r="1781" spans="1:6" x14ac:dyDescent="0.25">
      <c r="A1781" t="s">
        <v>52</v>
      </c>
      <c r="B1781">
        <v>2</v>
      </c>
      <c r="C1781" t="s">
        <v>27</v>
      </c>
      <c r="D1781" t="s">
        <v>2</v>
      </c>
      <c r="E1781" s="8">
        <v>45158</v>
      </c>
      <c r="F1781">
        <v>93</v>
      </c>
    </row>
    <row r="1782" spans="1:6" x14ac:dyDescent="0.25">
      <c r="A1782" t="s">
        <v>52</v>
      </c>
      <c r="B1782">
        <v>2</v>
      </c>
      <c r="C1782" t="s">
        <v>27</v>
      </c>
      <c r="D1782" t="s">
        <v>2</v>
      </c>
      <c r="E1782" s="8">
        <v>45159</v>
      </c>
      <c r="F1782">
        <v>183</v>
      </c>
    </row>
    <row r="1783" spans="1:6" x14ac:dyDescent="0.25">
      <c r="A1783" t="s">
        <v>52</v>
      </c>
      <c r="B1783">
        <v>2</v>
      </c>
      <c r="C1783" t="s">
        <v>27</v>
      </c>
      <c r="D1783" t="s">
        <v>2</v>
      </c>
      <c r="E1783" s="8">
        <v>45160</v>
      </c>
      <c r="F1783">
        <v>332</v>
      </c>
    </row>
    <row r="1784" spans="1:6" x14ac:dyDescent="0.25">
      <c r="A1784" t="s">
        <v>52</v>
      </c>
      <c r="B1784">
        <v>2</v>
      </c>
      <c r="C1784" t="s">
        <v>27</v>
      </c>
      <c r="D1784" t="s">
        <v>2</v>
      </c>
      <c r="E1784" s="8">
        <v>45161</v>
      </c>
      <c r="F1784">
        <v>399</v>
      </c>
    </row>
    <row r="1785" spans="1:6" x14ac:dyDescent="0.25">
      <c r="A1785" t="s">
        <v>52</v>
      </c>
      <c r="B1785">
        <v>2</v>
      </c>
      <c r="C1785" t="s">
        <v>27</v>
      </c>
      <c r="D1785" t="s">
        <v>2</v>
      </c>
      <c r="E1785" s="8">
        <v>45162</v>
      </c>
      <c r="F1785">
        <v>142</v>
      </c>
    </row>
    <row r="1786" spans="1:6" x14ac:dyDescent="0.25">
      <c r="A1786" t="s">
        <v>52</v>
      </c>
      <c r="B1786">
        <v>2</v>
      </c>
      <c r="C1786" t="s">
        <v>27</v>
      </c>
      <c r="D1786" t="s">
        <v>2</v>
      </c>
      <c r="E1786" s="8">
        <v>45163</v>
      </c>
      <c r="F1786">
        <v>504</v>
      </c>
    </row>
    <row r="1787" spans="1:6" x14ac:dyDescent="0.25">
      <c r="A1787" t="s">
        <v>52</v>
      </c>
      <c r="B1787">
        <v>2</v>
      </c>
      <c r="C1787" t="s">
        <v>27</v>
      </c>
      <c r="D1787" t="s">
        <v>2</v>
      </c>
      <c r="E1787" s="8">
        <v>45164</v>
      </c>
      <c r="F1787">
        <v>388</v>
      </c>
    </row>
    <row r="1788" spans="1:6" x14ac:dyDescent="0.25">
      <c r="A1788" t="s">
        <v>52</v>
      </c>
      <c r="B1788">
        <v>2</v>
      </c>
      <c r="C1788" t="s">
        <v>28</v>
      </c>
      <c r="D1788" t="s">
        <v>3</v>
      </c>
      <c r="E1788" s="8">
        <v>45075</v>
      </c>
      <c r="F1788">
        <v>134</v>
      </c>
    </row>
    <row r="1789" spans="1:6" x14ac:dyDescent="0.25">
      <c r="A1789" t="s">
        <v>52</v>
      </c>
      <c r="B1789">
        <v>2</v>
      </c>
      <c r="C1789" t="s">
        <v>28</v>
      </c>
      <c r="D1789" t="s">
        <v>3</v>
      </c>
      <c r="E1789" s="8">
        <v>45076</v>
      </c>
      <c r="F1789">
        <v>19</v>
      </c>
    </row>
    <row r="1790" spans="1:6" x14ac:dyDescent="0.25">
      <c r="A1790" t="s">
        <v>52</v>
      </c>
      <c r="B1790">
        <v>2</v>
      </c>
      <c r="C1790" t="s">
        <v>28</v>
      </c>
      <c r="D1790" t="s">
        <v>3</v>
      </c>
      <c r="E1790" s="8">
        <v>45077</v>
      </c>
      <c r="F1790">
        <v>200</v>
      </c>
    </row>
    <row r="1791" spans="1:6" x14ac:dyDescent="0.25">
      <c r="A1791" t="s">
        <v>52</v>
      </c>
      <c r="B1791">
        <v>2</v>
      </c>
      <c r="C1791" t="s">
        <v>28</v>
      </c>
      <c r="D1791" t="s">
        <v>3</v>
      </c>
      <c r="E1791" s="8">
        <v>45078</v>
      </c>
      <c r="F1791">
        <v>238</v>
      </c>
    </row>
    <row r="1792" spans="1:6" x14ac:dyDescent="0.25">
      <c r="A1792" t="s">
        <v>52</v>
      </c>
      <c r="B1792">
        <v>2</v>
      </c>
      <c r="C1792" t="s">
        <v>28</v>
      </c>
      <c r="D1792" t="s">
        <v>3</v>
      </c>
      <c r="E1792" s="8">
        <v>45079</v>
      </c>
      <c r="F1792">
        <v>69</v>
      </c>
    </row>
    <row r="1793" spans="1:6" x14ac:dyDescent="0.25">
      <c r="A1793" t="s">
        <v>52</v>
      </c>
      <c r="B1793">
        <v>2</v>
      </c>
      <c r="C1793" t="s">
        <v>28</v>
      </c>
      <c r="D1793" t="s">
        <v>3</v>
      </c>
      <c r="E1793" s="8">
        <v>45080</v>
      </c>
      <c r="F1793">
        <v>213</v>
      </c>
    </row>
    <row r="1794" spans="1:6" x14ac:dyDescent="0.25">
      <c r="A1794" t="s">
        <v>52</v>
      </c>
      <c r="B1794">
        <v>2</v>
      </c>
      <c r="C1794" t="s">
        <v>28</v>
      </c>
      <c r="D1794" t="s">
        <v>3</v>
      </c>
      <c r="E1794" s="8">
        <v>45081</v>
      </c>
      <c r="F1794">
        <v>194</v>
      </c>
    </row>
    <row r="1795" spans="1:6" x14ac:dyDescent="0.25">
      <c r="A1795" t="s">
        <v>52</v>
      </c>
      <c r="B1795">
        <v>2</v>
      </c>
      <c r="C1795" t="s">
        <v>28</v>
      </c>
      <c r="D1795" t="s">
        <v>3</v>
      </c>
      <c r="E1795" s="8">
        <v>45082</v>
      </c>
      <c r="F1795">
        <v>211</v>
      </c>
    </row>
    <row r="1796" spans="1:6" x14ac:dyDescent="0.25">
      <c r="A1796" t="s">
        <v>52</v>
      </c>
      <c r="B1796">
        <v>2</v>
      </c>
      <c r="C1796" t="s">
        <v>28</v>
      </c>
      <c r="D1796" t="s">
        <v>3</v>
      </c>
      <c r="E1796" s="8">
        <v>45083</v>
      </c>
      <c r="F1796">
        <v>147</v>
      </c>
    </row>
    <row r="1797" spans="1:6" x14ac:dyDescent="0.25">
      <c r="A1797" t="s">
        <v>52</v>
      </c>
      <c r="B1797">
        <v>2</v>
      </c>
      <c r="C1797" t="s">
        <v>28</v>
      </c>
      <c r="D1797" t="s">
        <v>3</v>
      </c>
      <c r="E1797" s="8">
        <v>45084</v>
      </c>
      <c r="F1797">
        <v>164</v>
      </c>
    </row>
    <row r="1798" spans="1:6" x14ac:dyDescent="0.25">
      <c r="A1798" t="s">
        <v>52</v>
      </c>
      <c r="B1798">
        <v>2</v>
      </c>
      <c r="C1798" t="s">
        <v>28</v>
      </c>
      <c r="D1798" t="s">
        <v>3</v>
      </c>
      <c r="E1798" s="8">
        <v>45085</v>
      </c>
      <c r="F1798">
        <v>233</v>
      </c>
    </row>
    <row r="1799" spans="1:6" x14ac:dyDescent="0.25">
      <c r="A1799" t="s">
        <v>52</v>
      </c>
      <c r="B1799">
        <v>2</v>
      </c>
      <c r="C1799" t="s">
        <v>28</v>
      </c>
      <c r="D1799" t="s">
        <v>3</v>
      </c>
      <c r="E1799" s="8">
        <v>45087</v>
      </c>
      <c r="F1799">
        <v>304</v>
      </c>
    </row>
    <row r="1800" spans="1:6" x14ac:dyDescent="0.25">
      <c r="A1800" t="s">
        <v>52</v>
      </c>
      <c r="B1800">
        <v>2</v>
      </c>
      <c r="C1800" t="s">
        <v>28</v>
      </c>
      <c r="D1800" t="s">
        <v>3</v>
      </c>
      <c r="E1800" s="8">
        <v>45088</v>
      </c>
      <c r="F1800">
        <v>125</v>
      </c>
    </row>
    <row r="1801" spans="1:6" x14ac:dyDescent="0.25">
      <c r="A1801" t="s">
        <v>52</v>
      </c>
      <c r="B1801">
        <v>2</v>
      </c>
      <c r="C1801" t="s">
        <v>28</v>
      </c>
      <c r="D1801" t="s">
        <v>3</v>
      </c>
      <c r="E1801" s="8">
        <v>45094</v>
      </c>
      <c r="F1801">
        <v>13</v>
      </c>
    </row>
    <row r="1802" spans="1:6" x14ac:dyDescent="0.25">
      <c r="A1802" t="s">
        <v>52</v>
      </c>
      <c r="B1802">
        <v>2</v>
      </c>
      <c r="C1802" t="s">
        <v>28</v>
      </c>
      <c r="D1802" t="s">
        <v>3</v>
      </c>
      <c r="E1802" s="8">
        <v>45095</v>
      </c>
      <c r="F1802">
        <v>117</v>
      </c>
    </row>
    <row r="1803" spans="1:6" x14ac:dyDescent="0.25">
      <c r="A1803" t="s">
        <v>52</v>
      </c>
      <c r="B1803">
        <v>2</v>
      </c>
      <c r="C1803" t="s">
        <v>28</v>
      </c>
      <c r="D1803" t="s">
        <v>3</v>
      </c>
      <c r="E1803" s="8">
        <v>45096</v>
      </c>
      <c r="F1803">
        <v>11</v>
      </c>
    </row>
    <row r="1804" spans="1:6" x14ac:dyDescent="0.25">
      <c r="A1804" t="s">
        <v>52</v>
      </c>
      <c r="B1804">
        <v>2</v>
      </c>
      <c r="C1804" t="s">
        <v>28</v>
      </c>
      <c r="D1804" t="s">
        <v>3</v>
      </c>
      <c r="E1804" s="8">
        <v>45097</v>
      </c>
      <c r="F1804">
        <v>84</v>
      </c>
    </row>
    <row r="1805" spans="1:6" x14ac:dyDescent="0.25">
      <c r="A1805" t="s">
        <v>52</v>
      </c>
      <c r="B1805">
        <v>2</v>
      </c>
      <c r="C1805" t="s">
        <v>29</v>
      </c>
      <c r="D1805" t="s">
        <v>3</v>
      </c>
      <c r="E1805" s="8">
        <v>45048</v>
      </c>
      <c r="F1805">
        <v>146</v>
      </c>
    </row>
    <row r="1806" spans="1:6" x14ac:dyDescent="0.25">
      <c r="A1806" t="s">
        <v>52</v>
      </c>
      <c r="B1806">
        <v>2</v>
      </c>
      <c r="C1806" t="s">
        <v>29</v>
      </c>
      <c r="D1806" t="s">
        <v>3</v>
      </c>
      <c r="E1806" s="8">
        <v>45049</v>
      </c>
      <c r="F1806">
        <v>29</v>
      </c>
    </row>
    <row r="1807" spans="1:6" x14ac:dyDescent="0.25">
      <c r="A1807" t="s">
        <v>52</v>
      </c>
      <c r="B1807">
        <v>2</v>
      </c>
      <c r="C1807" t="s">
        <v>29</v>
      </c>
      <c r="D1807" t="s">
        <v>3</v>
      </c>
      <c r="E1807" s="8">
        <v>45050</v>
      </c>
      <c r="F1807">
        <v>181</v>
      </c>
    </row>
    <row r="1808" spans="1:6" x14ac:dyDescent="0.25">
      <c r="A1808" t="s">
        <v>52</v>
      </c>
      <c r="B1808">
        <v>2</v>
      </c>
      <c r="C1808" t="s">
        <v>29</v>
      </c>
      <c r="D1808" t="s">
        <v>3</v>
      </c>
      <c r="E1808" s="8">
        <v>45051</v>
      </c>
      <c r="F1808">
        <v>181</v>
      </c>
    </row>
    <row r="1809" spans="1:6" x14ac:dyDescent="0.25">
      <c r="A1809" t="s">
        <v>52</v>
      </c>
      <c r="B1809">
        <v>2</v>
      </c>
      <c r="C1809" t="s">
        <v>29</v>
      </c>
      <c r="D1809" t="s">
        <v>3</v>
      </c>
      <c r="E1809" s="8">
        <v>45052</v>
      </c>
      <c r="F1809">
        <v>167</v>
      </c>
    </row>
    <row r="1810" spans="1:6" x14ac:dyDescent="0.25">
      <c r="A1810" t="s">
        <v>52</v>
      </c>
      <c r="B1810">
        <v>2</v>
      </c>
      <c r="C1810" t="s">
        <v>29</v>
      </c>
      <c r="D1810" t="s">
        <v>3</v>
      </c>
      <c r="E1810" s="8">
        <v>45053</v>
      </c>
      <c r="F1810">
        <v>179</v>
      </c>
    </row>
    <row r="1811" spans="1:6" x14ac:dyDescent="0.25">
      <c r="A1811" t="s">
        <v>52</v>
      </c>
      <c r="B1811">
        <v>2</v>
      </c>
      <c r="C1811" t="s">
        <v>29</v>
      </c>
      <c r="D1811" t="s">
        <v>3</v>
      </c>
      <c r="E1811" s="8">
        <v>45054</v>
      </c>
      <c r="F1811">
        <v>172</v>
      </c>
    </row>
    <row r="1812" spans="1:6" x14ac:dyDescent="0.25">
      <c r="A1812" t="s">
        <v>52</v>
      </c>
      <c r="B1812">
        <v>2</v>
      </c>
      <c r="C1812" t="s">
        <v>29</v>
      </c>
      <c r="D1812" t="s">
        <v>3</v>
      </c>
      <c r="E1812" s="8">
        <v>45055</v>
      </c>
      <c r="F1812">
        <v>220</v>
      </c>
    </row>
    <row r="1813" spans="1:6" x14ac:dyDescent="0.25">
      <c r="A1813" t="s">
        <v>52</v>
      </c>
      <c r="B1813">
        <v>2</v>
      </c>
      <c r="C1813" t="s">
        <v>29</v>
      </c>
      <c r="D1813" t="s">
        <v>3</v>
      </c>
      <c r="E1813" s="8">
        <v>45056</v>
      </c>
      <c r="F1813">
        <v>198</v>
      </c>
    </row>
    <row r="1814" spans="1:6" x14ac:dyDescent="0.25">
      <c r="A1814" t="s">
        <v>52</v>
      </c>
      <c r="B1814">
        <v>2</v>
      </c>
      <c r="C1814" t="s">
        <v>29</v>
      </c>
      <c r="D1814" t="s">
        <v>3</v>
      </c>
      <c r="E1814" s="8">
        <v>45057</v>
      </c>
      <c r="F1814">
        <v>51</v>
      </c>
    </row>
    <row r="1815" spans="1:6" x14ac:dyDescent="0.25">
      <c r="A1815" t="s">
        <v>52</v>
      </c>
      <c r="B1815">
        <v>2</v>
      </c>
      <c r="C1815" t="s">
        <v>29</v>
      </c>
      <c r="D1815" t="s">
        <v>3</v>
      </c>
      <c r="E1815" s="8">
        <v>45058</v>
      </c>
      <c r="F1815">
        <v>124</v>
      </c>
    </row>
    <row r="1816" spans="1:6" x14ac:dyDescent="0.25">
      <c r="A1816" t="s">
        <v>52</v>
      </c>
      <c r="B1816">
        <v>2</v>
      </c>
      <c r="C1816" t="s">
        <v>30</v>
      </c>
      <c r="D1816" t="s">
        <v>2</v>
      </c>
      <c r="E1816" s="8">
        <v>45128</v>
      </c>
      <c r="F1816">
        <v>68</v>
      </c>
    </row>
    <row r="1817" spans="1:6" x14ac:dyDescent="0.25">
      <c r="A1817" t="s">
        <v>52</v>
      </c>
      <c r="B1817">
        <v>2</v>
      </c>
      <c r="C1817" t="s">
        <v>30</v>
      </c>
      <c r="D1817" t="s">
        <v>2</v>
      </c>
      <c r="E1817" s="8">
        <v>45129</v>
      </c>
      <c r="F1817">
        <v>105</v>
      </c>
    </row>
    <row r="1818" spans="1:6" x14ac:dyDescent="0.25">
      <c r="A1818" t="s">
        <v>52</v>
      </c>
      <c r="B1818">
        <v>2</v>
      </c>
      <c r="C1818" t="s">
        <v>30</v>
      </c>
      <c r="D1818" t="s">
        <v>2</v>
      </c>
      <c r="E1818" s="8">
        <v>45130</v>
      </c>
      <c r="F1818">
        <v>128</v>
      </c>
    </row>
    <row r="1819" spans="1:6" x14ac:dyDescent="0.25">
      <c r="A1819" t="s">
        <v>52</v>
      </c>
      <c r="B1819">
        <v>2</v>
      </c>
      <c r="C1819" t="s">
        <v>30</v>
      </c>
      <c r="D1819" t="s">
        <v>2</v>
      </c>
      <c r="E1819" s="8">
        <v>45131</v>
      </c>
      <c r="F1819">
        <v>81</v>
      </c>
    </row>
    <row r="1820" spans="1:6" x14ac:dyDescent="0.25">
      <c r="A1820" t="s">
        <v>52</v>
      </c>
      <c r="B1820">
        <v>3</v>
      </c>
      <c r="C1820" t="s">
        <v>32</v>
      </c>
      <c r="D1820" t="s">
        <v>8</v>
      </c>
      <c r="E1820" s="8">
        <v>45068</v>
      </c>
      <c r="F1820">
        <v>100</v>
      </c>
    </row>
    <row r="1821" spans="1:6" x14ac:dyDescent="0.25">
      <c r="A1821" t="s">
        <v>52</v>
      </c>
      <c r="B1821">
        <v>3</v>
      </c>
      <c r="C1821" t="s">
        <v>32</v>
      </c>
      <c r="D1821" t="s">
        <v>8</v>
      </c>
      <c r="E1821" s="8">
        <v>45071</v>
      </c>
      <c r="F1821">
        <v>92</v>
      </c>
    </row>
    <row r="1822" spans="1:6" x14ac:dyDescent="0.25">
      <c r="A1822" t="s">
        <v>52</v>
      </c>
      <c r="B1822">
        <v>3</v>
      </c>
      <c r="C1822" t="s">
        <v>32</v>
      </c>
      <c r="D1822" t="s">
        <v>8</v>
      </c>
      <c r="E1822" s="8">
        <v>45072</v>
      </c>
      <c r="F1822">
        <v>57</v>
      </c>
    </row>
    <row r="1823" spans="1:6" x14ac:dyDescent="0.25">
      <c r="A1823" t="s">
        <v>52</v>
      </c>
      <c r="B1823">
        <v>3</v>
      </c>
      <c r="C1823" t="s">
        <v>32</v>
      </c>
      <c r="D1823" t="s">
        <v>8</v>
      </c>
      <c r="E1823" s="8">
        <v>45073</v>
      </c>
      <c r="F1823">
        <v>48</v>
      </c>
    </row>
    <row r="1824" spans="1:6" x14ac:dyDescent="0.25">
      <c r="A1824" t="s">
        <v>52</v>
      </c>
      <c r="B1824">
        <v>3</v>
      </c>
      <c r="C1824" t="s">
        <v>32</v>
      </c>
      <c r="D1824" t="s">
        <v>8</v>
      </c>
      <c r="E1824" s="8">
        <v>45078</v>
      </c>
      <c r="F1824">
        <v>71</v>
      </c>
    </row>
    <row r="1825" spans="1:6" x14ac:dyDescent="0.25">
      <c r="A1825" t="s">
        <v>52</v>
      </c>
      <c r="B1825">
        <v>3</v>
      </c>
      <c r="C1825" t="s">
        <v>32</v>
      </c>
      <c r="D1825" t="s">
        <v>8</v>
      </c>
      <c r="E1825" s="8">
        <v>45079</v>
      </c>
      <c r="F1825">
        <v>12</v>
      </c>
    </row>
    <row r="1826" spans="1:6" x14ac:dyDescent="0.25">
      <c r="A1826" t="s">
        <v>52</v>
      </c>
      <c r="B1826">
        <v>3</v>
      </c>
      <c r="C1826" t="s">
        <v>32</v>
      </c>
      <c r="D1826" t="s">
        <v>8</v>
      </c>
      <c r="E1826" s="8">
        <v>45080</v>
      </c>
      <c r="F1826">
        <v>157</v>
      </c>
    </row>
    <row r="1827" spans="1:6" x14ac:dyDescent="0.25">
      <c r="A1827" t="s">
        <v>52</v>
      </c>
      <c r="B1827">
        <v>3</v>
      </c>
      <c r="C1827" t="s">
        <v>32</v>
      </c>
      <c r="D1827" t="s">
        <v>8</v>
      </c>
      <c r="E1827" s="8">
        <v>45081</v>
      </c>
      <c r="F1827">
        <v>30</v>
      </c>
    </row>
    <row r="1828" spans="1:6" x14ac:dyDescent="0.25">
      <c r="A1828" t="s">
        <v>52</v>
      </c>
      <c r="B1828">
        <v>3</v>
      </c>
      <c r="C1828" t="s">
        <v>32</v>
      </c>
      <c r="D1828" t="s">
        <v>8</v>
      </c>
      <c r="E1828" s="8">
        <v>45175</v>
      </c>
      <c r="F1828">
        <v>4</v>
      </c>
    </row>
    <row r="1829" spans="1:6" x14ac:dyDescent="0.25">
      <c r="A1829" t="s">
        <v>52</v>
      </c>
      <c r="B1829">
        <v>3</v>
      </c>
      <c r="C1829" t="s">
        <v>33</v>
      </c>
      <c r="D1829" t="s">
        <v>8</v>
      </c>
      <c r="E1829" s="8">
        <v>45047</v>
      </c>
      <c r="F1829">
        <v>6</v>
      </c>
    </row>
    <row r="1830" spans="1:6" x14ac:dyDescent="0.25">
      <c r="A1830" t="s">
        <v>52</v>
      </c>
      <c r="B1830">
        <v>3</v>
      </c>
      <c r="C1830" t="s">
        <v>33</v>
      </c>
      <c r="D1830" t="s">
        <v>8</v>
      </c>
      <c r="E1830" s="8">
        <v>45052</v>
      </c>
      <c r="F1830">
        <v>90</v>
      </c>
    </row>
    <row r="1831" spans="1:6" x14ac:dyDescent="0.25">
      <c r="A1831" t="s">
        <v>52</v>
      </c>
      <c r="B1831">
        <v>3</v>
      </c>
      <c r="C1831" t="s">
        <v>33</v>
      </c>
      <c r="D1831" t="s">
        <v>8</v>
      </c>
      <c r="E1831" s="8">
        <v>45053</v>
      </c>
      <c r="F1831">
        <v>12</v>
      </c>
    </row>
    <row r="1832" spans="1:6" x14ac:dyDescent="0.25">
      <c r="A1832" t="s">
        <v>52</v>
      </c>
      <c r="B1832">
        <v>3</v>
      </c>
      <c r="C1832" t="s">
        <v>33</v>
      </c>
      <c r="D1832" t="s">
        <v>8</v>
      </c>
      <c r="E1832" s="8">
        <v>45055</v>
      </c>
      <c r="F1832">
        <v>146</v>
      </c>
    </row>
    <row r="1833" spans="1:6" x14ac:dyDescent="0.25">
      <c r="A1833" t="s">
        <v>52</v>
      </c>
      <c r="B1833">
        <v>3</v>
      </c>
      <c r="C1833" t="s">
        <v>33</v>
      </c>
      <c r="D1833" t="s">
        <v>8</v>
      </c>
      <c r="E1833" s="8">
        <v>45056</v>
      </c>
      <c r="F1833">
        <v>77</v>
      </c>
    </row>
    <row r="1834" spans="1:6" x14ac:dyDescent="0.25">
      <c r="A1834" t="s">
        <v>52</v>
      </c>
      <c r="B1834">
        <v>3</v>
      </c>
      <c r="C1834" t="s">
        <v>33</v>
      </c>
      <c r="D1834" t="s">
        <v>8</v>
      </c>
      <c r="E1834" s="8">
        <v>45059</v>
      </c>
      <c r="F1834">
        <v>115</v>
      </c>
    </row>
    <row r="1835" spans="1:6" x14ac:dyDescent="0.25">
      <c r="A1835" t="s">
        <v>52</v>
      </c>
      <c r="B1835">
        <v>3</v>
      </c>
      <c r="C1835" t="s">
        <v>33</v>
      </c>
      <c r="D1835" t="s">
        <v>8</v>
      </c>
      <c r="E1835" s="8">
        <v>45060</v>
      </c>
      <c r="F1835">
        <v>273</v>
      </c>
    </row>
    <row r="1836" spans="1:6" x14ac:dyDescent="0.25">
      <c r="A1836" t="s">
        <v>52</v>
      </c>
      <c r="B1836">
        <v>3</v>
      </c>
      <c r="C1836" t="s">
        <v>33</v>
      </c>
      <c r="D1836" t="s">
        <v>8</v>
      </c>
      <c r="E1836" s="8">
        <v>45061</v>
      </c>
      <c r="F1836">
        <v>133</v>
      </c>
    </row>
    <row r="1837" spans="1:6" x14ac:dyDescent="0.25">
      <c r="A1837" t="s">
        <v>52</v>
      </c>
      <c r="B1837">
        <v>3</v>
      </c>
      <c r="C1837" t="s">
        <v>33</v>
      </c>
      <c r="D1837" t="s">
        <v>8</v>
      </c>
      <c r="E1837" s="8">
        <v>45062</v>
      </c>
      <c r="F1837">
        <v>200</v>
      </c>
    </row>
    <row r="1838" spans="1:6" x14ac:dyDescent="0.25">
      <c r="A1838" t="s">
        <v>52</v>
      </c>
      <c r="B1838">
        <v>3</v>
      </c>
      <c r="C1838" t="s">
        <v>33</v>
      </c>
      <c r="D1838" t="s">
        <v>8</v>
      </c>
      <c r="E1838" s="8">
        <v>45063</v>
      </c>
      <c r="F1838">
        <v>259</v>
      </c>
    </row>
    <row r="1839" spans="1:6" x14ac:dyDescent="0.25">
      <c r="A1839" t="s">
        <v>52</v>
      </c>
      <c r="B1839">
        <v>3</v>
      </c>
      <c r="C1839" t="s">
        <v>33</v>
      </c>
      <c r="D1839" t="s">
        <v>8</v>
      </c>
      <c r="E1839" s="8">
        <v>45064</v>
      </c>
      <c r="F1839">
        <v>147</v>
      </c>
    </row>
    <row r="1840" spans="1:6" x14ac:dyDescent="0.25">
      <c r="A1840" t="s">
        <v>52</v>
      </c>
      <c r="B1840">
        <v>3</v>
      </c>
      <c r="C1840" t="s">
        <v>33</v>
      </c>
      <c r="D1840" t="s">
        <v>8</v>
      </c>
      <c r="E1840" s="8">
        <v>45065</v>
      </c>
      <c r="F1840">
        <v>163</v>
      </c>
    </row>
    <row r="1841" spans="1:6" x14ac:dyDescent="0.25">
      <c r="A1841" t="s">
        <v>52</v>
      </c>
      <c r="B1841">
        <v>3</v>
      </c>
      <c r="C1841" t="s">
        <v>33</v>
      </c>
      <c r="D1841" t="s">
        <v>8</v>
      </c>
      <c r="E1841" s="8">
        <v>45066</v>
      </c>
      <c r="F1841">
        <v>141</v>
      </c>
    </row>
    <row r="1842" spans="1:6" x14ac:dyDescent="0.25">
      <c r="A1842" t="s">
        <v>52</v>
      </c>
      <c r="B1842">
        <v>3</v>
      </c>
      <c r="C1842" t="s">
        <v>33</v>
      </c>
      <c r="D1842" t="s">
        <v>8</v>
      </c>
      <c r="E1842" s="8">
        <v>45067</v>
      </c>
      <c r="F1842">
        <v>115</v>
      </c>
    </row>
    <row r="1843" spans="1:6" x14ac:dyDescent="0.25">
      <c r="A1843" t="s">
        <v>52</v>
      </c>
      <c r="B1843">
        <v>3</v>
      </c>
      <c r="C1843" t="s">
        <v>33</v>
      </c>
      <c r="D1843" t="s">
        <v>8</v>
      </c>
      <c r="E1843" s="8">
        <v>45082</v>
      </c>
      <c r="F1843">
        <v>77</v>
      </c>
    </row>
    <row r="1844" spans="1:6" x14ac:dyDescent="0.25">
      <c r="A1844" t="s">
        <v>52</v>
      </c>
      <c r="B1844">
        <v>3</v>
      </c>
      <c r="C1844" t="s">
        <v>33</v>
      </c>
      <c r="D1844" t="s">
        <v>8</v>
      </c>
      <c r="E1844" s="8">
        <v>45085</v>
      </c>
      <c r="F1844">
        <v>130</v>
      </c>
    </row>
    <row r="1845" spans="1:6" x14ac:dyDescent="0.25">
      <c r="A1845" t="s">
        <v>52</v>
      </c>
      <c r="B1845">
        <v>3</v>
      </c>
      <c r="C1845" t="s">
        <v>33</v>
      </c>
      <c r="D1845" t="s">
        <v>8</v>
      </c>
      <c r="E1845" s="8">
        <v>45087</v>
      </c>
      <c r="F1845">
        <v>185</v>
      </c>
    </row>
    <row r="1846" spans="1:6" x14ac:dyDescent="0.25">
      <c r="A1846" t="s">
        <v>52</v>
      </c>
      <c r="B1846">
        <v>3</v>
      </c>
      <c r="C1846" t="s">
        <v>33</v>
      </c>
      <c r="D1846" t="s">
        <v>8</v>
      </c>
      <c r="E1846" s="8">
        <v>45098</v>
      </c>
      <c r="F1846">
        <v>2</v>
      </c>
    </row>
    <row r="1847" spans="1:6" x14ac:dyDescent="0.25">
      <c r="A1847" t="s">
        <v>52</v>
      </c>
      <c r="B1847">
        <v>3</v>
      </c>
      <c r="C1847" t="s">
        <v>33</v>
      </c>
      <c r="D1847" t="s">
        <v>8</v>
      </c>
      <c r="E1847" s="8">
        <v>45104</v>
      </c>
      <c r="F1847">
        <v>69</v>
      </c>
    </row>
    <row r="1848" spans="1:6" x14ac:dyDescent="0.25">
      <c r="A1848" t="s">
        <v>52</v>
      </c>
      <c r="B1848">
        <v>3</v>
      </c>
      <c r="C1848" t="s">
        <v>33</v>
      </c>
      <c r="D1848" t="s">
        <v>8</v>
      </c>
      <c r="E1848" s="8">
        <v>45107</v>
      </c>
      <c r="F1848">
        <v>89</v>
      </c>
    </row>
    <row r="1849" spans="1:6" x14ac:dyDescent="0.25">
      <c r="A1849" t="s">
        <v>52</v>
      </c>
      <c r="B1849">
        <v>3</v>
      </c>
      <c r="C1849" t="s">
        <v>33</v>
      </c>
      <c r="D1849" t="s">
        <v>8</v>
      </c>
      <c r="E1849" s="8">
        <v>45108</v>
      </c>
      <c r="F1849">
        <v>173</v>
      </c>
    </row>
    <row r="1850" spans="1:6" x14ac:dyDescent="0.25">
      <c r="A1850" t="s">
        <v>52</v>
      </c>
      <c r="B1850">
        <v>3</v>
      </c>
      <c r="C1850" t="s">
        <v>33</v>
      </c>
      <c r="D1850" t="s">
        <v>8</v>
      </c>
      <c r="E1850" s="8">
        <v>45109</v>
      </c>
      <c r="F1850">
        <v>210</v>
      </c>
    </row>
    <row r="1851" spans="1:6" x14ac:dyDescent="0.25">
      <c r="A1851" t="s">
        <v>52</v>
      </c>
      <c r="B1851">
        <v>3</v>
      </c>
      <c r="C1851" t="s">
        <v>33</v>
      </c>
      <c r="D1851" t="s">
        <v>8</v>
      </c>
      <c r="E1851" s="8">
        <v>45110</v>
      </c>
      <c r="F1851">
        <v>73</v>
      </c>
    </row>
    <row r="1852" spans="1:6" x14ac:dyDescent="0.25">
      <c r="A1852" t="s">
        <v>52</v>
      </c>
      <c r="B1852">
        <v>3</v>
      </c>
      <c r="C1852" t="s">
        <v>33</v>
      </c>
      <c r="D1852" t="s">
        <v>8</v>
      </c>
      <c r="E1852" s="8">
        <v>45111</v>
      </c>
      <c r="F1852">
        <v>142</v>
      </c>
    </row>
    <row r="1853" spans="1:6" x14ac:dyDescent="0.25">
      <c r="A1853" t="s">
        <v>52</v>
      </c>
      <c r="B1853">
        <v>3</v>
      </c>
      <c r="C1853" t="s">
        <v>33</v>
      </c>
      <c r="D1853" t="s">
        <v>8</v>
      </c>
      <c r="E1853" s="8">
        <v>45113</v>
      </c>
      <c r="F1853">
        <v>17</v>
      </c>
    </row>
    <row r="1854" spans="1:6" x14ac:dyDescent="0.25">
      <c r="A1854" t="s">
        <v>52</v>
      </c>
      <c r="B1854">
        <v>3</v>
      </c>
      <c r="C1854" t="s">
        <v>33</v>
      </c>
      <c r="D1854" t="s">
        <v>8</v>
      </c>
      <c r="E1854" s="8">
        <v>45115</v>
      </c>
      <c r="F1854">
        <v>43</v>
      </c>
    </row>
    <row r="1855" spans="1:6" x14ac:dyDescent="0.25">
      <c r="A1855" t="s">
        <v>52</v>
      </c>
      <c r="B1855">
        <v>3</v>
      </c>
      <c r="C1855" t="s">
        <v>33</v>
      </c>
      <c r="D1855" t="s">
        <v>8</v>
      </c>
      <c r="E1855" s="8">
        <v>45118</v>
      </c>
      <c r="F1855">
        <v>87</v>
      </c>
    </row>
    <row r="1856" spans="1:6" x14ac:dyDescent="0.25">
      <c r="A1856" t="s">
        <v>52</v>
      </c>
      <c r="B1856">
        <v>3</v>
      </c>
      <c r="C1856" t="s">
        <v>33</v>
      </c>
      <c r="D1856" t="s">
        <v>8</v>
      </c>
      <c r="E1856" s="8">
        <v>45119</v>
      </c>
      <c r="F1856">
        <v>63</v>
      </c>
    </row>
    <row r="1857" spans="1:6" x14ac:dyDescent="0.25">
      <c r="A1857" t="s">
        <v>52</v>
      </c>
      <c r="B1857">
        <v>3</v>
      </c>
      <c r="C1857" t="s">
        <v>33</v>
      </c>
      <c r="D1857" t="s">
        <v>8</v>
      </c>
      <c r="E1857" s="8">
        <v>45120</v>
      </c>
      <c r="F1857">
        <v>83</v>
      </c>
    </row>
    <row r="1858" spans="1:6" x14ac:dyDescent="0.25">
      <c r="A1858" t="s">
        <v>52</v>
      </c>
      <c r="B1858">
        <v>3</v>
      </c>
      <c r="C1858" t="s">
        <v>33</v>
      </c>
      <c r="D1858" t="s">
        <v>8</v>
      </c>
      <c r="E1858" s="8">
        <v>45121</v>
      </c>
      <c r="F1858">
        <v>33</v>
      </c>
    </row>
    <row r="1859" spans="1:6" x14ac:dyDescent="0.25">
      <c r="A1859" t="s">
        <v>52</v>
      </c>
      <c r="B1859">
        <v>3</v>
      </c>
      <c r="C1859" t="s">
        <v>33</v>
      </c>
      <c r="D1859" t="s">
        <v>8</v>
      </c>
      <c r="E1859" s="8">
        <v>45122</v>
      </c>
      <c r="F1859">
        <v>7</v>
      </c>
    </row>
    <row r="1860" spans="1:6" x14ac:dyDescent="0.25">
      <c r="A1860" t="s">
        <v>52</v>
      </c>
      <c r="B1860">
        <v>3</v>
      </c>
      <c r="C1860" t="s">
        <v>33</v>
      </c>
      <c r="D1860" t="s">
        <v>8</v>
      </c>
      <c r="E1860" s="8">
        <v>45123</v>
      </c>
      <c r="F1860">
        <v>103</v>
      </c>
    </row>
    <row r="1861" spans="1:6" x14ac:dyDescent="0.25">
      <c r="A1861" t="s">
        <v>52</v>
      </c>
      <c r="B1861">
        <v>3</v>
      </c>
      <c r="C1861" t="s">
        <v>33</v>
      </c>
      <c r="D1861" t="s">
        <v>8</v>
      </c>
      <c r="E1861" s="8">
        <v>45124</v>
      </c>
      <c r="F1861">
        <v>159</v>
      </c>
    </row>
    <row r="1862" spans="1:6" x14ac:dyDescent="0.25">
      <c r="A1862" t="s">
        <v>52</v>
      </c>
      <c r="B1862">
        <v>3</v>
      </c>
      <c r="C1862" t="s">
        <v>33</v>
      </c>
      <c r="D1862" t="s">
        <v>8</v>
      </c>
      <c r="E1862" s="8">
        <v>45125</v>
      </c>
      <c r="F1862">
        <v>72</v>
      </c>
    </row>
    <row r="1863" spans="1:6" x14ac:dyDescent="0.25">
      <c r="A1863" t="s">
        <v>52</v>
      </c>
      <c r="B1863">
        <v>3</v>
      </c>
      <c r="C1863" t="s">
        <v>33</v>
      </c>
      <c r="D1863" t="s">
        <v>8</v>
      </c>
      <c r="E1863" s="8">
        <v>45126</v>
      </c>
      <c r="F1863">
        <v>55</v>
      </c>
    </row>
    <row r="1864" spans="1:6" x14ac:dyDescent="0.25">
      <c r="A1864" t="s">
        <v>52</v>
      </c>
      <c r="B1864">
        <v>3</v>
      </c>
      <c r="C1864" t="s">
        <v>33</v>
      </c>
      <c r="D1864" t="s">
        <v>8</v>
      </c>
      <c r="E1864" s="8">
        <v>45128</v>
      </c>
      <c r="F1864">
        <v>119</v>
      </c>
    </row>
    <row r="1865" spans="1:6" x14ac:dyDescent="0.25">
      <c r="A1865" t="s">
        <v>52</v>
      </c>
      <c r="B1865">
        <v>3</v>
      </c>
      <c r="C1865" t="s">
        <v>33</v>
      </c>
      <c r="D1865" t="s">
        <v>8</v>
      </c>
      <c r="E1865" s="8">
        <v>45140</v>
      </c>
      <c r="F1865">
        <v>60</v>
      </c>
    </row>
    <row r="1866" spans="1:6" x14ac:dyDescent="0.25">
      <c r="A1866" t="s">
        <v>52</v>
      </c>
      <c r="B1866">
        <v>3</v>
      </c>
      <c r="C1866" t="s">
        <v>33</v>
      </c>
      <c r="D1866" t="s">
        <v>8</v>
      </c>
      <c r="E1866" s="8">
        <v>45141</v>
      </c>
      <c r="F1866">
        <v>65</v>
      </c>
    </row>
    <row r="1867" spans="1:6" x14ac:dyDescent="0.25">
      <c r="A1867" t="s">
        <v>52</v>
      </c>
      <c r="B1867">
        <v>3</v>
      </c>
      <c r="C1867" t="s">
        <v>33</v>
      </c>
      <c r="D1867" t="s">
        <v>8</v>
      </c>
      <c r="E1867" s="8">
        <v>45142</v>
      </c>
      <c r="F1867">
        <v>112</v>
      </c>
    </row>
    <row r="1868" spans="1:6" x14ac:dyDescent="0.25">
      <c r="A1868" t="s">
        <v>52</v>
      </c>
      <c r="B1868">
        <v>3</v>
      </c>
      <c r="C1868" t="s">
        <v>33</v>
      </c>
      <c r="D1868" t="s">
        <v>8</v>
      </c>
      <c r="E1868" s="8">
        <v>45143</v>
      </c>
      <c r="F1868">
        <v>180</v>
      </c>
    </row>
    <row r="1869" spans="1:6" x14ac:dyDescent="0.25">
      <c r="A1869" t="s">
        <v>52</v>
      </c>
      <c r="B1869">
        <v>3</v>
      </c>
      <c r="C1869" t="s">
        <v>33</v>
      </c>
      <c r="D1869" t="s">
        <v>8</v>
      </c>
      <c r="E1869" s="8">
        <v>45144</v>
      </c>
      <c r="F1869">
        <v>83</v>
      </c>
    </row>
    <row r="1870" spans="1:6" x14ac:dyDescent="0.25">
      <c r="A1870" t="s">
        <v>52</v>
      </c>
      <c r="B1870">
        <v>3</v>
      </c>
      <c r="C1870" t="s">
        <v>33</v>
      </c>
      <c r="D1870" t="s">
        <v>8</v>
      </c>
      <c r="E1870" s="8">
        <v>45146</v>
      </c>
      <c r="F1870">
        <v>40</v>
      </c>
    </row>
    <row r="1871" spans="1:6" x14ac:dyDescent="0.25">
      <c r="A1871" t="s">
        <v>52</v>
      </c>
      <c r="B1871">
        <v>3</v>
      </c>
      <c r="C1871" t="s">
        <v>33</v>
      </c>
      <c r="D1871" t="s">
        <v>8</v>
      </c>
      <c r="E1871" s="8">
        <v>45147</v>
      </c>
      <c r="F1871">
        <v>113</v>
      </c>
    </row>
    <row r="1872" spans="1:6" x14ac:dyDescent="0.25">
      <c r="A1872" t="s">
        <v>52</v>
      </c>
      <c r="B1872">
        <v>3</v>
      </c>
      <c r="C1872" t="s">
        <v>33</v>
      </c>
      <c r="D1872" t="s">
        <v>8</v>
      </c>
      <c r="E1872" s="8">
        <v>45148</v>
      </c>
      <c r="F1872">
        <v>75</v>
      </c>
    </row>
    <row r="1873" spans="1:6" x14ac:dyDescent="0.25">
      <c r="A1873" t="s">
        <v>52</v>
      </c>
      <c r="B1873">
        <v>3</v>
      </c>
      <c r="C1873" t="s">
        <v>33</v>
      </c>
      <c r="D1873" t="s">
        <v>8</v>
      </c>
      <c r="E1873" s="8">
        <v>45149</v>
      </c>
      <c r="F1873">
        <v>203</v>
      </c>
    </row>
    <row r="1874" spans="1:6" x14ac:dyDescent="0.25">
      <c r="A1874" t="s">
        <v>52</v>
      </c>
      <c r="B1874">
        <v>3</v>
      </c>
      <c r="C1874" t="s">
        <v>33</v>
      </c>
      <c r="D1874" t="s">
        <v>8</v>
      </c>
      <c r="E1874" s="8">
        <v>45150</v>
      </c>
      <c r="F1874">
        <v>190</v>
      </c>
    </row>
    <row r="1875" spans="1:6" x14ac:dyDescent="0.25">
      <c r="A1875" t="s">
        <v>52</v>
      </c>
      <c r="B1875">
        <v>3</v>
      </c>
      <c r="C1875" t="s">
        <v>33</v>
      </c>
      <c r="D1875" t="s">
        <v>8</v>
      </c>
      <c r="E1875" s="8">
        <v>45151</v>
      </c>
      <c r="F1875">
        <v>156</v>
      </c>
    </row>
    <row r="1876" spans="1:6" x14ac:dyDescent="0.25">
      <c r="A1876" t="s">
        <v>52</v>
      </c>
      <c r="B1876">
        <v>3</v>
      </c>
      <c r="C1876" t="s">
        <v>33</v>
      </c>
      <c r="D1876" t="s">
        <v>8</v>
      </c>
      <c r="E1876" s="8">
        <v>45152</v>
      </c>
      <c r="F1876">
        <v>212</v>
      </c>
    </row>
    <row r="1877" spans="1:6" x14ac:dyDescent="0.25">
      <c r="A1877" t="s">
        <v>52</v>
      </c>
      <c r="B1877">
        <v>3</v>
      </c>
      <c r="C1877" t="s">
        <v>33</v>
      </c>
      <c r="D1877" t="s">
        <v>8</v>
      </c>
      <c r="E1877" s="8">
        <v>45153</v>
      </c>
      <c r="F1877">
        <v>110</v>
      </c>
    </row>
    <row r="1878" spans="1:6" x14ac:dyDescent="0.25">
      <c r="A1878" t="s">
        <v>52</v>
      </c>
      <c r="B1878">
        <v>3</v>
      </c>
      <c r="C1878" t="s">
        <v>33</v>
      </c>
      <c r="D1878" t="s">
        <v>8</v>
      </c>
      <c r="E1878" s="8">
        <v>45154</v>
      </c>
      <c r="F1878">
        <v>56</v>
      </c>
    </row>
    <row r="1879" spans="1:6" x14ac:dyDescent="0.25">
      <c r="A1879" t="s">
        <v>52</v>
      </c>
      <c r="B1879">
        <v>3</v>
      </c>
      <c r="C1879" t="s">
        <v>33</v>
      </c>
      <c r="D1879" t="s">
        <v>8</v>
      </c>
      <c r="E1879" s="8">
        <v>45155</v>
      </c>
      <c r="F1879">
        <v>125</v>
      </c>
    </row>
    <row r="1880" spans="1:6" x14ac:dyDescent="0.25">
      <c r="A1880" t="s">
        <v>52</v>
      </c>
      <c r="B1880">
        <v>3</v>
      </c>
      <c r="C1880" t="s">
        <v>33</v>
      </c>
      <c r="D1880" t="s">
        <v>8</v>
      </c>
      <c r="E1880" s="8">
        <v>45156</v>
      </c>
      <c r="F1880">
        <v>165</v>
      </c>
    </row>
    <row r="1881" spans="1:6" x14ac:dyDescent="0.25">
      <c r="A1881" t="s">
        <v>52</v>
      </c>
      <c r="B1881">
        <v>3</v>
      </c>
      <c r="C1881" t="s">
        <v>33</v>
      </c>
      <c r="D1881" t="s">
        <v>8</v>
      </c>
      <c r="E1881" s="8">
        <v>45157</v>
      </c>
      <c r="F1881">
        <v>92</v>
      </c>
    </row>
    <row r="1882" spans="1:6" x14ac:dyDescent="0.25">
      <c r="A1882" t="s">
        <v>52</v>
      </c>
      <c r="B1882">
        <v>3</v>
      </c>
      <c r="C1882" t="s">
        <v>33</v>
      </c>
      <c r="D1882" t="s">
        <v>8</v>
      </c>
      <c r="E1882" s="8">
        <v>45168</v>
      </c>
      <c r="F1882">
        <v>78</v>
      </c>
    </row>
    <row r="1883" spans="1:6" x14ac:dyDescent="0.25">
      <c r="A1883" t="s">
        <v>52</v>
      </c>
      <c r="B1883">
        <v>3</v>
      </c>
      <c r="C1883" t="s">
        <v>33</v>
      </c>
      <c r="D1883" t="s">
        <v>8</v>
      </c>
      <c r="E1883" s="8">
        <v>45169</v>
      </c>
      <c r="F1883">
        <v>67</v>
      </c>
    </row>
    <row r="1884" spans="1:6" x14ac:dyDescent="0.25">
      <c r="A1884" t="s">
        <v>52</v>
      </c>
      <c r="B1884">
        <v>3</v>
      </c>
      <c r="C1884" t="s">
        <v>33</v>
      </c>
      <c r="D1884" t="s">
        <v>8</v>
      </c>
      <c r="E1884" s="8">
        <v>45170</v>
      </c>
      <c r="F1884">
        <v>178</v>
      </c>
    </row>
    <row r="1885" spans="1:6" x14ac:dyDescent="0.25">
      <c r="A1885" t="s">
        <v>52</v>
      </c>
      <c r="B1885">
        <v>3</v>
      </c>
      <c r="C1885" t="s">
        <v>33</v>
      </c>
      <c r="D1885" t="s">
        <v>8</v>
      </c>
      <c r="E1885" s="8">
        <v>45171</v>
      </c>
      <c r="F1885">
        <v>191</v>
      </c>
    </row>
    <row r="1886" spans="1:6" x14ac:dyDescent="0.25">
      <c r="A1886" t="s">
        <v>52</v>
      </c>
      <c r="B1886">
        <v>3</v>
      </c>
      <c r="C1886" t="s">
        <v>33</v>
      </c>
      <c r="D1886" t="s">
        <v>8</v>
      </c>
      <c r="E1886" s="8">
        <v>45172</v>
      </c>
      <c r="F1886">
        <v>184</v>
      </c>
    </row>
    <row r="1887" spans="1:6" x14ac:dyDescent="0.25">
      <c r="A1887" t="s">
        <v>52</v>
      </c>
      <c r="B1887">
        <v>3</v>
      </c>
      <c r="C1887" t="s">
        <v>33</v>
      </c>
      <c r="D1887" t="s">
        <v>8</v>
      </c>
      <c r="E1887" s="8">
        <v>45173</v>
      </c>
      <c r="F1887">
        <v>169</v>
      </c>
    </row>
    <row r="1888" spans="1:6" x14ac:dyDescent="0.25">
      <c r="A1888" t="s">
        <v>52</v>
      </c>
      <c r="B1888">
        <v>3</v>
      </c>
      <c r="C1888" t="s">
        <v>33</v>
      </c>
      <c r="D1888" t="s">
        <v>8</v>
      </c>
      <c r="E1888" s="8">
        <v>45174</v>
      </c>
      <c r="F1888">
        <v>7</v>
      </c>
    </row>
    <row r="1889" spans="1:6" x14ac:dyDescent="0.25">
      <c r="A1889" t="s">
        <v>52</v>
      </c>
      <c r="B1889">
        <v>3</v>
      </c>
      <c r="C1889" t="s">
        <v>33</v>
      </c>
      <c r="D1889" t="s">
        <v>8</v>
      </c>
      <c r="E1889" s="8">
        <v>45280</v>
      </c>
      <c r="F1889">
        <v>6</v>
      </c>
    </row>
    <row r="1890" spans="1:6" x14ac:dyDescent="0.25">
      <c r="A1890" t="s">
        <v>52</v>
      </c>
      <c r="B1890">
        <v>3</v>
      </c>
      <c r="C1890" t="s">
        <v>34</v>
      </c>
      <c r="D1890" t="s">
        <v>9</v>
      </c>
      <c r="E1890" s="8">
        <v>45064</v>
      </c>
      <c r="F1890">
        <v>209</v>
      </c>
    </row>
    <row r="1891" spans="1:6" x14ac:dyDescent="0.25">
      <c r="A1891" t="s">
        <v>52</v>
      </c>
      <c r="B1891">
        <v>3</v>
      </c>
      <c r="C1891" t="s">
        <v>34</v>
      </c>
      <c r="D1891" t="s">
        <v>9</v>
      </c>
      <c r="E1891" s="8">
        <v>45065</v>
      </c>
      <c r="F1891">
        <v>209</v>
      </c>
    </row>
    <row r="1892" spans="1:6" x14ac:dyDescent="0.25">
      <c r="A1892" t="s">
        <v>52</v>
      </c>
      <c r="B1892">
        <v>3</v>
      </c>
      <c r="C1892" t="s">
        <v>34</v>
      </c>
      <c r="D1892" t="s">
        <v>9</v>
      </c>
      <c r="E1892" s="8">
        <v>45066</v>
      </c>
      <c r="F1892">
        <v>184</v>
      </c>
    </row>
    <row r="1893" spans="1:6" x14ac:dyDescent="0.25">
      <c r="A1893" t="s">
        <v>52</v>
      </c>
      <c r="B1893">
        <v>3</v>
      </c>
      <c r="C1893" t="s">
        <v>34</v>
      </c>
      <c r="D1893" t="s">
        <v>9</v>
      </c>
      <c r="E1893" s="8">
        <v>45068</v>
      </c>
      <c r="F1893">
        <v>169</v>
      </c>
    </row>
    <row r="1894" spans="1:6" x14ac:dyDescent="0.25">
      <c r="A1894" t="s">
        <v>52</v>
      </c>
      <c r="B1894">
        <v>3</v>
      </c>
      <c r="C1894" t="s">
        <v>34</v>
      </c>
      <c r="D1894" t="s">
        <v>9</v>
      </c>
      <c r="E1894" s="8">
        <v>45069</v>
      </c>
      <c r="F1894">
        <v>220</v>
      </c>
    </row>
    <row r="1895" spans="1:6" x14ac:dyDescent="0.25">
      <c r="A1895" t="s">
        <v>52</v>
      </c>
      <c r="B1895">
        <v>3</v>
      </c>
      <c r="C1895" t="s">
        <v>34</v>
      </c>
      <c r="D1895" t="s">
        <v>9</v>
      </c>
      <c r="E1895" s="8">
        <v>45070</v>
      </c>
      <c r="F1895">
        <v>66</v>
      </c>
    </row>
    <row r="1896" spans="1:6" x14ac:dyDescent="0.25">
      <c r="A1896" t="s">
        <v>52</v>
      </c>
      <c r="B1896">
        <v>3</v>
      </c>
      <c r="C1896" t="s">
        <v>34</v>
      </c>
      <c r="D1896" t="s">
        <v>9</v>
      </c>
      <c r="E1896" s="8">
        <v>45071</v>
      </c>
      <c r="F1896">
        <v>75</v>
      </c>
    </row>
    <row r="1897" spans="1:6" x14ac:dyDescent="0.25">
      <c r="A1897" t="s">
        <v>52</v>
      </c>
      <c r="B1897">
        <v>3</v>
      </c>
      <c r="C1897" t="s">
        <v>34</v>
      </c>
      <c r="D1897" t="s">
        <v>9</v>
      </c>
      <c r="E1897" s="8">
        <v>45072</v>
      </c>
      <c r="F1897">
        <v>264</v>
      </c>
    </row>
    <row r="1898" spans="1:6" x14ac:dyDescent="0.25">
      <c r="A1898" t="s">
        <v>52</v>
      </c>
      <c r="B1898">
        <v>3</v>
      </c>
      <c r="C1898" t="s">
        <v>34</v>
      </c>
      <c r="D1898" t="s">
        <v>9</v>
      </c>
      <c r="E1898" s="8">
        <v>45073</v>
      </c>
      <c r="F1898">
        <v>50</v>
      </c>
    </row>
    <row r="1899" spans="1:6" x14ac:dyDescent="0.25">
      <c r="A1899" t="s">
        <v>52</v>
      </c>
      <c r="B1899">
        <v>3</v>
      </c>
      <c r="C1899" t="s">
        <v>34</v>
      </c>
      <c r="D1899" t="s">
        <v>9</v>
      </c>
      <c r="E1899" s="8">
        <v>45077</v>
      </c>
      <c r="F1899">
        <v>60</v>
      </c>
    </row>
    <row r="1900" spans="1:6" x14ac:dyDescent="0.25">
      <c r="A1900" t="s">
        <v>52</v>
      </c>
      <c r="B1900">
        <v>3</v>
      </c>
      <c r="C1900" t="s">
        <v>34</v>
      </c>
      <c r="D1900" t="s">
        <v>9</v>
      </c>
      <c r="E1900" s="8">
        <v>45078</v>
      </c>
      <c r="F1900">
        <v>78</v>
      </c>
    </row>
    <row r="1901" spans="1:6" x14ac:dyDescent="0.25">
      <c r="A1901" t="s">
        <v>52</v>
      </c>
      <c r="B1901">
        <v>3</v>
      </c>
      <c r="C1901" t="s">
        <v>34</v>
      </c>
      <c r="D1901" t="s">
        <v>9</v>
      </c>
      <c r="E1901" s="8">
        <v>45080</v>
      </c>
      <c r="F1901">
        <v>146</v>
      </c>
    </row>
    <row r="1902" spans="1:6" x14ac:dyDescent="0.25">
      <c r="A1902" t="s">
        <v>52</v>
      </c>
      <c r="B1902">
        <v>3</v>
      </c>
      <c r="C1902" t="s">
        <v>34</v>
      </c>
      <c r="D1902" t="s">
        <v>9</v>
      </c>
      <c r="E1902" s="8">
        <v>45081</v>
      </c>
      <c r="F1902">
        <v>155</v>
      </c>
    </row>
    <row r="1903" spans="1:6" x14ac:dyDescent="0.25">
      <c r="A1903" t="s">
        <v>52</v>
      </c>
      <c r="B1903">
        <v>3</v>
      </c>
      <c r="C1903" t="s">
        <v>34</v>
      </c>
      <c r="D1903" t="s">
        <v>9</v>
      </c>
      <c r="E1903" s="8">
        <v>45082</v>
      </c>
      <c r="F1903">
        <v>167</v>
      </c>
    </row>
    <row r="1904" spans="1:6" x14ac:dyDescent="0.25">
      <c r="A1904" t="s">
        <v>52</v>
      </c>
      <c r="B1904">
        <v>3</v>
      </c>
      <c r="C1904" t="s">
        <v>34</v>
      </c>
      <c r="D1904" t="s">
        <v>9</v>
      </c>
      <c r="E1904" s="8">
        <v>45083</v>
      </c>
      <c r="F1904">
        <v>230</v>
      </c>
    </row>
    <row r="1905" spans="1:6" x14ac:dyDescent="0.25">
      <c r="A1905" t="s">
        <v>52</v>
      </c>
      <c r="B1905">
        <v>3</v>
      </c>
      <c r="C1905" t="s">
        <v>34</v>
      </c>
      <c r="D1905" t="s">
        <v>9</v>
      </c>
      <c r="E1905" s="8">
        <v>45084</v>
      </c>
      <c r="F1905">
        <v>83</v>
      </c>
    </row>
    <row r="1906" spans="1:6" x14ac:dyDescent="0.25">
      <c r="A1906" t="s">
        <v>52</v>
      </c>
      <c r="B1906">
        <v>3</v>
      </c>
      <c r="C1906" t="s">
        <v>34</v>
      </c>
      <c r="D1906" t="s">
        <v>9</v>
      </c>
      <c r="E1906" s="8">
        <v>45085</v>
      </c>
      <c r="F1906">
        <v>328</v>
      </c>
    </row>
    <row r="1907" spans="1:6" x14ac:dyDescent="0.25">
      <c r="A1907" t="s">
        <v>52</v>
      </c>
      <c r="B1907">
        <v>3</v>
      </c>
      <c r="C1907" t="s">
        <v>34</v>
      </c>
      <c r="D1907" t="s">
        <v>9</v>
      </c>
      <c r="E1907" s="8">
        <v>45086</v>
      </c>
      <c r="F1907">
        <v>22</v>
      </c>
    </row>
    <row r="1908" spans="1:6" x14ac:dyDescent="0.25">
      <c r="A1908" t="s">
        <v>52</v>
      </c>
      <c r="B1908">
        <v>3</v>
      </c>
      <c r="C1908" t="s">
        <v>34</v>
      </c>
      <c r="D1908" t="s">
        <v>9</v>
      </c>
      <c r="E1908" s="8">
        <v>45087</v>
      </c>
      <c r="F1908">
        <v>75</v>
      </c>
    </row>
    <row r="1909" spans="1:6" x14ac:dyDescent="0.25">
      <c r="A1909" t="s">
        <v>52</v>
      </c>
      <c r="B1909">
        <v>3</v>
      </c>
      <c r="C1909" t="s">
        <v>34</v>
      </c>
      <c r="D1909" t="s">
        <v>9</v>
      </c>
      <c r="E1909" s="8">
        <v>45094</v>
      </c>
      <c r="F1909">
        <v>138</v>
      </c>
    </row>
    <row r="1910" spans="1:6" x14ac:dyDescent="0.25">
      <c r="A1910" t="s">
        <v>52</v>
      </c>
      <c r="B1910">
        <v>3</v>
      </c>
      <c r="C1910" t="s">
        <v>34</v>
      </c>
      <c r="D1910" t="s">
        <v>9</v>
      </c>
      <c r="E1910" s="8">
        <v>45095</v>
      </c>
      <c r="F1910">
        <v>154</v>
      </c>
    </row>
    <row r="1911" spans="1:6" x14ac:dyDescent="0.25">
      <c r="A1911" t="s">
        <v>52</v>
      </c>
      <c r="B1911">
        <v>3</v>
      </c>
      <c r="C1911" t="s">
        <v>34</v>
      </c>
      <c r="D1911" t="s">
        <v>9</v>
      </c>
      <c r="E1911" s="8">
        <v>45096</v>
      </c>
      <c r="F1911">
        <v>194</v>
      </c>
    </row>
    <row r="1912" spans="1:6" x14ac:dyDescent="0.25">
      <c r="A1912" t="s">
        <v>52</v>
      </c>
      <c r="B1912">
        <v>3</v>
      </c>
      <c r="C1912" t="s">
        <v>34</v>
      </c>
      <c r="D1912" t="s">
        <v>9</v>
      </c>
      <c r="E1912" s="8">
        <v>45097</v>
      </c>
      <c r="F1912">
        <v>113</v>
      </c>
    </row>
    <row r="1913" spans="1:6" x14ac:dyDescent="0.25">
      <c r="A1913" t="s">
        <v>52</v>
      </c>
      <c r="B1913">
        <v>3</v>
      </c>
      <c r="C1913" t="s">
        <v>34</v>
      </c>
      <c r="D1913" t="s">
        <v>9</v>
      </c>
      <c r="E1913" s="8">
        <v>45098</v>
      </c>
      <c r="F1913">
        <v>188</v>
      </c>
    </row>
    <row r="1914" spans="1:6" x14ac:dyDescent="0.25">
      <c r="A1914" t="s">
        <v>52</v>
      </c>
      <c r="B1914">
        <v>3</v>
      </c>
      <c r="C1914" t="s">
        <v>34</v>
      </c>
      <c r="D1914" t="s">
        <v>9</v>
      </c>
      <c r="E1914" s="8">
        <v>45102</v>
      </c>
      <c r="F1914">
        <v>130</v>
      </c>
    </row>
    <row r="1915" spans="1:6" x14ac:dyDescent="0.25">
      <c r="A1915" t="s">
        <v>52</v>
      </c>
      <c r="B1915">
        <v>3</v>
      </c>
      <c r="C1915" t="s">
        <v>34</v>
      </c>
      <c r="D1915" t="s">
        <v>9</v>
      </c>
      <c r="E1915" s="8">
        <v>45179</v>
      </c>
      <c r="F1915">
        <v>211</v>
      </c>
    </row>
    <row r="1916" spans="1:6" x14ac:dyDescent="0.25">
      <c r="A1916" t="s">
        <v>52</v>
      </c>
      <c r="B1916">
        <v>3</v>
      </c>
      <c r="C1916" t="s">
        <v>34</v>
      </c>
      <c r="D1916" t="s">
        <v>9</v>
      </c>
      <c r="E1916" s="8">
        <v>45180</v>
      </c>
      <c r="F1916">
        <v>129</v>
      </c>
    </row>
    <row r="1917" spans="1:6" x14ac:dyDescent="0.25">
      <c r="A1917" t="s">
        <v>52</v>
      </c>
      <c r="B1917">
        <v>3</v>
      </c>
      <c r="C1917" t="s">
        <v>34</v>
      </c>
      <c r="D1917" t="s">
        <v>9</v>
      </c>
      <c r="E1917" s="8">
        <v>45182</v>
      </c>
      <c r="F1917">
        <v>106</v>
      </c>
    </row>
    <row r="1918" spans="1:6" x14ac:dyDescent="0.25">
      <c r="A1918" t="s">
        <v>52</v>
      </c>
      <c r="B1918">
        <v>3</v>
      </c>
      <c r="C1918" t="s">
        <v>34</v>
      </c>
      <c r="D1918" t="s">
        <v>9</v>
      </c>
      <c r="E1918" s="8">
        <v>45183</v>
      </c>
      <c r="F1918">
        <v>168</v>
      </c>
    </row>
    <row r="1919" spans="1:6" x14ac:dyDescent="0.25">
      <c r="A1919" t="s">
        <v>52</v>
      </c>
      <c r="B1919">
        <v>3</v>
      </c>
      <c r="C1919" t="s">
        <v>34</v>
      </c>
      <c r="D1919" t="s">
        <v>9</v>
      </c>
      <c r="E1919" s="8">
        <v>45184</v>
      </c>
      <c r="F1919">
        <v>134</v>
      </c>
    </row>
    <row r="1920" spans="1:6" x14ac:dyDescent="0.25">
      <c r="A1920" t="s">
        <v>52</v>
      </c>
      <c r="B1920">
        <v>3</v>
      </c>
      <c r="C1920" t="s">
        <v>35</v>
      </c>
      <c r="D1920" t="s">
        <v>8</v>
      </c>
      <c r="E1920" s="8">
        <v>45082</v>
      </c>
      <c r="F1920">
        <v>30</v>
      </c>
    </row>
    <row r="1921" spans="1:6" x14ac:dyDescent="0.25">
      <c r="A1921" t="s">
        <v>52</v>
      </c>
      <c r="B1921">
        <v>3</v>
      </c>
      <c r="C1921" t="s">
        <v>35</v>
      </c>
      <c r="D1921" t="s">
        <v>8</v>
      </c>
      <c r="E1921" s="8">
        <v>45083</v>
      </c>
      <c r="F1921">
        <v>147</v>
      </c>
    </row>
    <row r="1922" spans="1:6" x14ac:dyDescent="0.25">
      <c r="A1922" t="s">
        <v>52</v>
      </c>
      <c r="B1922">
        <v>3</v>
      </c>
      <c r="C1922" t="s">
        <v>35</v>
      </c>
      <c r="D1922" t="s">
        <v>8</v>
      </c>
      <c r="E1922" s="8">
        <v>45104</v>
      </c>
      <c r="F1922">
        <v>34</v>
      </c>
    </row>
    <row r="1923" spans="1:6" x14ac:dyDescent="0.25">
      <c r="A1923" t="s">
        <v>52</v>
      </c>
      <c r="B1923">
        <v>3</v>
      </c>
      <c r="C1923" t="s">
        <v>35</v>
      </c>
      <c r="D1923" t="s">
        <v>8</v>
      </c>
      <c r="E1923" s="8">
        <v>45105</v>
      </c>
      <c r="F1923">
        <v>194</v>
      </c>
    </row>
    <row r="1924" spans="1:6" x14ac:dyDescent="0.25">
      <c r="A1924" t="s">
        <v>52</v>
      </c>
      <c r="B1924">
        <v>3</v>
      </c>
      <c r="C1924" t="s">
        <v>35</v>
      </c>
      <c r="D1924" t="s">
        <v>8</v>
      </c>
      <c r="E1924" s="8">
        <v>45106</v>
      </c>
      <c r="F1924">
        <v>67</v>
      </c>
    </row>
    <row r="1925" spans="1:6" x14ac:dyDescent="0.25">
      <c r="A1925" t="s">
        <v>52</v>
      </c>
      <c r="B1925">
        <v>3</v>
      </c>
      <c r="C1925" t="s">
        <v>36</v>
      </c>
      <c r="D1925" t="s">
        <v>9</v>
      </c>
      <c r="E1925" s="8">
        <v>45103</v>
      </c>
      <c r="F1925">
        <v>62</v>
      </c>
    </row>
    <row r="1926" spans="1:6" x14ac:dyDescent="0.25">
      <c r="A1926" t="s">
        <v>52</v>
      </c>
      <c r="B1926">
        <v>3</v>
      </c>
      <c r="C1926" t="s">
        <v>36</v>
      </c>
      <c r="D1926" t="s">
        <v>9</v>
      </c>
      <c r="E1926" s="8">
        <v>45108</v>
      </c>
      <c r="F1926">
        <v>40</v>
      </c>
    </row>
    <row r="1927" spans="1:6" x14ac:dyDescent="0.25">
      <c r="A1927" t="s">
        <v>52</v>
      </c>
      <c r="B1927">
        <v>3</v>
      </c>
      <c r="C1927" t="s">
        <v>36</v>
      </c>
      <c r="D1927" t="s">
        <v>9</v>
      </c>
      <c r="E1927" s="8">
        <v>45110</v>
      </c>
      <c r="F1927">
        <v>291</v>
      </c>
    </row>
    <row r="1928" spans="1:6" x14ac:dyDescent="0.25">
      <c r="A1928" t="s">
        <v>52</v>
      </c>
      <c r="B1928">
        <v>3</v>
      </c>
      <c r="C1928" t="s">
        <v>36</v>
      </c>
      <c r="D1928" t="s">
        <v>9</v>
      </c>
      <c r="E1928" s="8">
        <v>45111</v>
      </c>
      <c r="F1928">
        <v>177</v>
      </c>
    </row>
    <row r="1929" spans="1:6" x14ac:dyDescent="0.25">
      <c r="A1929" t="s">
        <v>52</v>
      </c>
      <c r="B1929">
        <v>3</v>
      </c>
      <c r="C1929" t="s">
        <v>36</v>
      </c>
      <c r="D1929" t="s">
        <v>9</v>
      </c>
      <c r="E1929" s="8">
        <v>45112</v>
      </c>
      <c r="F1929">
        <v>67</v>
      </c>
    </row>
    <row r="1930" spans="1:6" x14ac:dyDescent="0.25">
      <c r="A1930" t="s">
        <v>52</v>
      </c>
      <c r="B1930">
        <v>3</v>
      </c>
      <c r="C1930" t="s">
        <v>36</v>
      </c>
      <c r="D1930" t="s">
        <v>9</v>
      </c>
      <c r="E1930" s="8">
        <v>45113</v>
      </c>
      <c r="F1930">
        <v>325</v>
      </c>
    </row>
    <row r="1931" spans="1:6" x14ac:dyDescent="0.25">
      <c r="A1931" t="s">
        <v>52</v>
      </c>
      <c r="B1931">
        <v>3</v>
      </c>
      <c r="C1931" t="s">
        <v>36</v>
      </c>
      <c r="D1931" t="s">
        <v>9</v>
      </c>
      <c r="E1931" s="8">
        <v>45115</v>
      </c>
      <c r="F1931">
        <v>173</v>
      </c>
    </row>
    <row r="1932" spans="1:6" x14ac:dyDescent="0.25">
      <c r="A1932" t="s">
        <v>52</v>
      </c>
      <c r="B1932">
        <v>3</v>
      </c>
      <c r="C1932" t="s">
        <v>36</v>
      </c>
      <c r="D1932" t="s">
        <v>9</v>
      </c>
      <c r="E1932" s="8">
        <v>45116</v>
      </c>
      <c r="F1932">
        <v>370</v>
      </c>
    </row>
    <row r="1933" spans="1:6" x14ac:dyDescent="0.25">
      <c r="A1933" t="s">
        <v>52</v>
      </c>
      <c r="B1933">
        <v>3</v>
      </c>
      <c r="C1933" t="s">
        <v>36</v>
      </c>
      <c r="D1933" t="s">
        <v>9</v>
      </c>
      <c r="E1933" s="8">
        <v>45117</v>
      </c>
      <c r="F1933">
        <v>184</v>
      </c>
    </row>
    <row r="1934" spans="1:6" x14ac:dyDescent="0.25">
      <c r="A1934" t="s">
        <v>52</v>
      </c>
      <c r="B1934">
        <v>3</v>
      </c>
      <c r="C1934" t="s">
        <v>36</v>
      </c>
      <c r="D1934" t="s">
        <v>9</v>
      </c>
      <c r="E1934" s="8">
        <v>45118</v>
      </c>
      <c r="F1934">
        <v>344</v>
      </c>
    </row>
    <row r="1935" spans="1:6" x14ac:dyDescent="0.25">
      <c r="A1935" t="s">
        <v>52</v>
      </c>
      <c r="B1935">
        <v>3</v>
      </c>
      <c r="C1935" t="s">
        <v>36</v>
      </c>
      <c r="D1935" t="s">
        <v>9</v>
      </c>
      <c r="E1935" s="8">
        <v>45124</v>
      </c>
      <c r="F1935">
        <v>189</v>
      </c>
    </row>
    <row r="1936" spans="1:6" x14ac:dyDescent="0.25">
      <c r="A1936" t="s">
        <v>52</v>
      </c>
      <c r="B1936">
        <v>3</v>
      </c>
      <c r="C1936" t="s">
        <v>36</v>
      </c>
      <c r="D1936" t="s">
        <v>9</v>
      </c>
      <c r="E1936" s="8">
        <v>45125</v>
      </c>
      <c r="F1936">
        <v>154</v>
      </c>
    </row>
    <row r="1937" spans="1:6" x14ac:dyDescent="0.25">
      <c r="A1937" t="s">
        <v>52</v>
      </c>
      <c r="B1937">
        <v>3</v>
      </c>
      <c r="C1937" t="s">
        <v>36</v>
      </c>
      <c r="D1937" t="s">
        <v>9</v>
      </c>
      <c r="E1937" s="8">
        <v>45126</v>
      </c>
      <c r="F1937">
        <v>152</v>
      </c>
    </row>
    <row r="1938" spans="1:6" x14ac:dyDescent="0.25">
      <c r="A1938" t="s">
        <v>52</v>
      </c>
      <c r="B1938">
        <v>3</v>
      </c>
      <c r="C1938" t="s">
        <v>36</v>
      </c>
      <c r="D1938" t="s">
        <v>9</v>
      </c>
      <c r="E1938" s="8">
        <v>45127</v>
      </c>
      <c r="F1938">
        <v>100</v>
      </c>
    </row>
    <row r="1939" spans="1:6" x14ac:dyDescent="0.25">
      <c r="A1939" t="s">
        <v>52</v>
      </c>
      <c r="B1939">
        <v>3</v>
      </c>
      <c r="C1939" t="s">
        <v>36</v>
      </c>
      <c r="D1939" t="s">
        <v>9</v>
      </c>
      <c r="E1939" s="8">
        <v>45128</v>
      </c>
      <c r="F1939">
        <v>137</v>
      </c>
    </row>
    <row r="1940" spans="1:6" x14ac:dyDescent="0.25">
      <c r="A1940" t="s">
        <v>52</v>
      </c>
      <c r="B1940">
        <v>3</v>
      </c>
      <c r="C1940" t="s">
        <v>36</v>
      </c>
      <c r="D1940" t="s">
        <v>9</v>
      </c>
      <c r="E1940" s="8">
        <v>45131</v>
      </c>
      <c r="F1940">
        <v>85</v>
      </c>
    </row>
    <row r="1941" spans="1:6" x14ac:dyDescent="0.25">
      <c r="A1941" t="s">
        <v>52</v>
      </c>
      <c r="B1941">
        <v>3</v>
      </c>
      <c r="C1941" t="s">
        <v>36</v>
      </c>
      <c r="D1941" t="s">
        <v>9</v>
      </c>
      <c r="E1941" s="8">
        <v>45144</v>
      </c>
      <c r="F1941">
        <v>74</v>
      </c>
    </row>
    <row r="1942" spans="1:6" x14ac:dyDescent="0.25">
      <c r="A1942" t="s">
        <v>52</v>
      </c>
      <c r="B1942">
        <v>3</v>
      </c>
      <c r="C1942" t="s">
        <v>36</v>
      </c>
      <c r="D1942" t="s">
        <v>9</v>
      </c>
      <c r="E1942" s="8">
        <v>45146</v>
      </c>
      <c r="F1942">
        <v>70</v>
      </c>
    </row>
    <row r="1943" spans="1:6" x14ac:dyDescent="0.25">
      <c r="A1943" t="s">
        <v>52</v>
      </c>
      <c r="B1943">
        <v>3</v>
      </c>
      <c r="C1943" t="s">
        <v>36</v>
      </c>
      <c r="D1943" t="s">
        <v>9</v>
      </c>
      <c r="E1943" s="8">
        <v>45151</v>
      </c>
      <c r="F1943">
        <v>16</v>
      </c>
    </row>
    <row r="1944" spans="1:6" x14ac:dyDescent="0.25">
      <c r="A1944" t="s">
        <v>52</v>
      </c>
      <c r="B1944">
        <v>3</v>
      </c>
      <c r="C1944" t="s">
        <v>36</v>
      </c>
      <c r="D1944" t="s">
        <v>9</v>
      </c>
      <c r="E1944" s="8">
        <v>45152</v>
      </c>
      <c r="F1944">
        <v>133</v>
      </c>
    </row>
    <row r="1945" spans="1:6" x14ac:dyDescent="0.25">
      <c r="A1945" t="s">
        <v>52</v>
      </c>
      <c r="B1945">
        <v>3</v>
      </c>
      <c r="C1945" t="s">
        <v>36</v>
      </c>
      <c r="D1945" t="s">
        <v>9</v>
      </c>
      <c r="E1945" s="8">
        <v>45153</v>
      </c>
      <c r="F1945">
        <v>227</v>
      </c>
    </row>
    <row r="1946" spans="1:6" x14ac:dyDescent="0.25">
      <c r="A1946" t="s">
        <v>52</v>
      </c>
      <c r="B1946">
        <v>3</v>
      </c>
      <c r="C1946" t="s">
        <v>36</v>
      </c>
      <c r="D1946" t="s">
        <v>9</v>
      </c>
      <c r="E1946" s="8">
        <v>45154</v>
      </c>
      <c r="F1946">
        <v>0</v>
      </c>
    </row>
    <row r="1947" spans="1:6" x14ac:dyDescent="0.25">
      <c r="A1947" t="s">
        <v>52</v>
      </c>
      <c r="B1947">
        <v>3</v>
      </c>
      <c r="C1947" t="s">
        <v>36</v>
      </c>
      <c r="D1947" t="s">
        <v>9</v>
      </c>
      <c r="E1947" s="8">
        <v>45155</v>
      </c>
      <c r="F1947">
        <v>162</v>
      </c>
    </row>
    <row r="1948" spans="1:6" x14ac:dyDescent="0.25">
      <c r="A1948" t="s">
        <v>52</v>
      </c>
      <c r="B1948">
        <v>3</v>
      </c>
      <c r="C1948" t="s">
        <v>36</v>
      </c>
      <c r="D1948" t="s">
        <v>9</v>
      </c>
      <c r="E1948" s="8">
        <v>45156</v>
      </c>
      <c r="F1948">
        <v>57</v>
      </c>
    </row>
    <row r="1949" spans="1:6" x14ac:dyDescent="0.25">
      <c r="A1949" t="s">
        <v>52</v>
      </c>
      <c r="B1949">
        <v>3</v>
      </c>
      <c r="C1949" t="s">
        <v>36</v>
      </c>
      <c r="D1949" t="s">
        <v>9</v>
      </c>
      <c r="E1949" s="8">
        <v>45157</v>
      </c>
      <c r="F1949">
        <v>49</v>
      </c>
    </row>
    <row r="1950" spans="1:6" x14ac:dyDescent="0.25">
      <c r="A1950" t="s">
        <v>52</v>
      </c>
      <c r="B1950">
        <v>3</v>
      </c>
      <c r="C1950" t="s">
        <v>36</v>
      </c>
      <c r="D1950" t="s">
        <v>9</v>
      </c>
      <c r="E1950" s="8">
        <v>45159</v>
      </c>
      <c r="F1950">
        <v>205</v>
      </c>
    </row>
    <row r="1951" spans="1:6" x14ac:dyDescent="0.25">
      <c r="A1951" t="s">
        <v>52</v>
      </c>
      <c r="B1951">
        <v>3</v>
      </c>
      <c r="C1951" t="s">
        <v>36</v>
      </c>
      <c r="D1951" t="s">
        <v>9</v>
      </c>
      <c r="E1951" s="8">
        <v>45160</v>
      </c>
      <c r="F1951">
        <v>263</v>
      </c>
    </row>
    <row r="1952" spans="1:6" x14ac:dyDescent="0.25">
      <c r="A1952" t="s">
        <v>52</v>
      </c>
      <c r="B1952">
        <v>3</v>
      </c>
      <c r="C1952" t="s">
        <v>36</v>
      </c>
      <c r="D1952" t="s">
        <v>9</v>
      </c>
      <c r="E1952" s="8">
        <v>45162</v>
      </c>
      <c r="F1952">
        <v>134</v>
      </c>
    </row>
    <row r="1953" spans="1:6" x14ac:dyDescent="0.25">
      <c r="A1953" t="s">
        <v>52</v>
      </c>
      <c r="B1953">
        <v>3</v>
      </c>
      <c r="C1953" t="s">
        <v>36</v>
      </c>
      <c r="D1953" t="s">
        <v>9</v>
      </c>
      <c r="E1953" s="8">
        <v>45163</v>
      </c>
      <c r="F1953">
        <v>196</v>
      </c>
    </row>
    <row r="1954" spans="1:6" x14ac:dyDescent="0.25">
      <c r="A1954" t="s">
        <v>52</v>
      </c>
      <c r="B1954">
        <v>3</v>
      </c>
      <c r="C1954" t="s">
        <v>36</v>
      </c>
      <c r="D1954" t="s">
        <v>9</v>
      </c>
      <c r="E1954" s="8">
        <v>45164</v>
      </c>
      <c r="F1954">
        <v>216</v>
      </c>
    </row>
    <row r="1955" spans="1:6" x14ac:dyDescent="0.25">
      <c r="A1955" t="s">
        <v>52</v>
      </c>
      <c r="B1955">
        <v>3</v>
      </c>
      <c r="C1955" t="s">
        <v>36</v>
      </c>
      <c r="D1955" t="s">
        <v>9</v>
      </c>
      <c r="E1955" s="8">
        <v>45165</v>
      </c>
      <c r="F1955">
        <v>213</v>
      </c>
    </row>
    <row r="1956" spans="1:6" x14ac:dyDescent="0.25">
      <c r="A1956" t="s">
        <v>52</v>
      </c>
      <c r="B1956">
        <v>3</v>
      </c>
      <c r="C1956" t="s">
        <v>37</v>
      </c>
      <c r="D1956" t="s">
        <v>8</v>
      </c>
      <c r="E1956" s="8">
        <v>45169</v>
      </c>
      <c r="F1956">
        <v>3</v>
      </c>
    </row>
    <row r="1957" spans="1:6" x14ac:dyDescent="0.25">
      <c r="A1957" t="s">
        <v>52</v>
      </c>
      <c r="B1957">
        <v>3</v>
      </c>
      <c r="C1957" t="s">
        <v>37</v>
      </c>
      <c r="D1957" t="s">
        <v>9</v>
      </c>
      <c r="E1957" s="8">
        <v>45098</v>
      </c>
      <c r="F1957">
        <v>3</v>
      </c>
    </row>
    <row r="1958" spans="1:6" x14ac:dyDescent="0.25">
      <c r="A1958" t="s">
        <v>52</v>
      </c>
      <c r="B1958">
        <v>3</v>
      </c>
      <c r="C1958" t="s">
        <v>37</v>
      </c>
      <c r="D1958" t="s">
        <v>9</v>
      </c>
      <c r="E1958" s="8">
        <v>45102</v>
      </c>
      <c r="F1958">
        <v>58</v>
      </c>
    </row>
    <row r="1959" spans="1:6" x14ac:dyDescent="0.25">
      <c r="A1959" t="s">
        <v>52</v>
      </c>
      <c r="B1959">
        <v>3</v>
      </c>
      <c r="C1959" t="s">
        <v>37</v>
      </c>
      <c r="D1959" t="s">
        <v>9</v>
      </c>
      <c r="E1959" s="8">
        <v>45103</v>
      </c>
      <c r="F1959">
        <v>65</v>
      </c>
    </row>
    <row r="1960" spans="1:6" x14ac:dyDescent="0.25">
      <c r="A1960" t="s">
        <v>52</v>
      </c>
      <c r="B1960">
        <v>3</v>
      </c>
      <c r="C1960" t="s">
        <v>37</v>
      </c>
      <c r="D1960" t="s">
        <v>9</v>
      </c>
      <c r="E1960" s="8">
        <v>45104</v>
      </c>
      <c r="F1960">
        <v>231</v>
      </c>
    </row>
    <row r="1961" spans="1:6" x14ac:dyDescent="0.25">
      <c r="A1961" t="s">
        <v>52</v>
      </c>
      <c r="B1961">
        <v>3</v>
      </c>
      <c r="C1961" t="s">
        <v>37</v>
      </c>
      <c r="D1961" t="s">
        <v>9</v>
      </c>
      <c r="E1961" s="8">
        <v>45105</v>
      </c>
      <c r="F1961">
        <v>49</v>
      </c>
    </row>
    <row r="1962" spans="1:6" x14ac:dyDescent="0.25">
      <c r="A1962" t="s">
        <v>52</v>
      </c>
      <c r="B1962">
        <v>3</v>
      </c>
      <c r="C1962" t="s">
        <v>37</v>
      </c>
      <c r="D1962" t="s">
        <v>9</v>
      </c>
      <c r="E1962" s="8">
        <v>45107</v>
      </c>
      <c r="F1962">
        <v>72</v>
      </c>
    </row>
    <row r="1963" spans="1:6" x14ac:dyDescent="0.25">
      <c r="A1963" t="s">
        <v>52</v>
      </c>
      <c r="B1963">
        <v>3</v>
      </c>
      <c r="C1963" t="s">
        <v>37</v>
      </c>
      <c r="D1963" t="s">
        <v>9</v>
      </c>
      <c r="E1963" s="8">
        <v>45108</v>
      </c>
      <c r="F1963">
        <v>50</v>
      </c>
    </row>
    <row r="1964" spans="1:6" x14ac:dyDescent="0.25">
      <c r="A1964" t="s">
        <v>52</v>
      </c>
      <c r="B1964">
        <v>3</v>
      </c>
      <c r="C1964" t="s">
        <v>37</v>
      </c>
      <c r="D1964" t="s">
        <v>9</v>
      </c>
      <c r="E1964" s="8">
        <v>45142</v>
      </c>
      <c r="F1964">
        <v>65</v>
      </c>
    </row>
    <row r="1965" spans="1:6" x14ac:dyDescent="0.25">
      <c r="A1965" t="s">
        <v>52</v>
      </c>
      <c r="B1965">
        <v>3</v>
      </c>
      <c r="C1965" t="s">
        <v>37</v>
      </c>
      <c r="D1965" t="s">
        <v>9</v>
      </c>
      <c r="E1965" s="8">
        <v>45143</v>
      </c>
      <c r="F1965">
        <v>252</v>
      </c>
    </row>
    <row r="1966" spans="1:6" x14ac:dyDescent="0.25">
      <c r="A1966" t="s">
        <v>52</v>
      </c>
      <c r="B1966">
        <v>3</v>
      </c>
      <c r="C1966" t="s">
        <v>37</v>
      </c>
      <c r="D1966" t="s">
        <v>9</v>
      </c>
      <c r="E1966" s="8">
        <v>45151</v>
      </c>
      <c r="F1966">
        <v>7</v>
      </c>
    </row>
    <row r="1967" spans="1:6" x14ac:dyDescent="0.25">
      <c r="A1967" t="s">
        <v>52</v>
      </c>
      <c r="B1967">
        <v>3</v>
      </c>
      <c r="C1967" t="s">
        <v>37</v>
      </c>
      <c r="D1967" t="s">
        <v>9</v>
      </c>
      <c r="E1967" s="8">
        <v>45167</v>
      </c>
      <c r="F1967">
        <v>312</v>
      </c>
    </row>
    <row r="1968" spans="1:6" x14ac:dyDescent="0.25">
      <c r="A1968" t="s">
        <v>52</v>
      </c>
      <c r="B1968">
        <v>3</v>
      </c>
      <c r="C1968" t="s">
        <v>37</v>
      </c>
      <c r="D1968" t="s">
        <v>9</v>
      </c>
      <c r="E1968" s="8">
        <v>45168</v>
      </c>
      <c r="F1968">
        <v>104</v>
      </c>
    </row>
    <row r="1969" spans="1:6" x14ac:dyDescent="0.25">
      <c r="A1969" t="s">
        <v>52</v>
      </c>
      <c r="B1969">
        <v>3</v>
      </c>
      <c r="C1969" t="s">
        <v>37</v>
      </c>
      <c r="D1969" t="s">
        <v>9</v>
      </c>
      <c r="E1969" s="8">
        <v>45169</v>
      </c>
      <c r="F1969">
        <v>110</v>
      </c>
    </row>
    <row r="1970" spans="1:6" x14ac:dyDescent="0.25">
      <c r="A1970" t="s">
        <v>52</v>
      </c>
      <c r="B1970">
        <v>3</v>
      </c>
      <c r="C1970" t="s">
        <v>37</v>
      </c>
      <c r="D1970" t="s">
        <v>9</v>
      </c>
      <c r="E1970" s="8">
        <v>45170</v>
      </c>
      <c r="F1970">
        <v>281</v>
      </c>
    </row>
    <row r="1971" spans="1:6" x14ac:dyDescent="0.25">
      <c r="A1971" t="s">
        <v>52</v>
      </c>
      <c r="B1971">
        <v>3</v>
      </c>
      <c r="C1971" t="s">
        <v>37</v>
      </c>
      <c r="D1971" t="s">
        <v>9</v>
      </c>
      <c r="E1971" s="8">
        <v>45171</v>
      </c>
      <c r="F1971">
        <v>25</v>
      </c>
    </row>
    <row r="1972" spans="1:6" x14ac:dyDescent="0.25">
      <c r="A1972" t="s">
        <v>52</v>
      </c>
      <c r="B1972">
        <v>3</v>
      </c>
      <c r="C1972" t="s">
        <v>37</v>
      </c>
      <c r="D1972" t="s">
        <v>9</v>
      </c>
      <c r="E1972" s="8">
        <v>45173</v>
      </c>
      <c r="F1972">
        <v>25</v>
      </c>
    </row>
    <row r="1973" spans="1:6" x14ac:dyDescent="0.25">
      <c r="A1973" t="s">
        <v>52</v>
      </c>
      <c r="B1973">
        <v>3</v>
      </c>
      <c r="C1973" t="s">
        <v>37</v>
      </c>
      <c r="D1973" t="s">
        <v>9</v>
      </c>
      <c r="E1973" s="8">
        <v>45174</v>
      </c>
      <c r="F1973">
        <v>15</v>
      </c>
    </row>
    <row r="1974" spans="1:6" x14ac:dyDescent="0.25">
      <c r="A1974" t="s">
        <v>52</v>
      </c>
      <c r="B1974">
        <v>3</v>
      </c>
      <c r="C1974" t="s">
        <v>38</v>
      </c>
      <c r="D1974" t="s">
        <v>8</v>
      </c>
      <c r="E1974" s="8">
        <v>45098</v>
      </c>
      <c r="F1974">
        <v>10</v>
      </c>
    </row>
    <row r="1975" spans="1:6" x14ac:dyDescent="0.25">
      <c r="A1975" t="s">
        <v>52</v>
      </c>
      <c r="B1975">
        <v>3</v>
      </c>
      <c r="C1975" t="s">
        <v>38</v>
      </c>
      <c r="D1975" t="s">
        <v>8</v>
      </c>
      <c r="E1975" s="8">
        <v>45103</v>
      </c>
      <c r="F1975">
        <v>32</v>
      </c>
    </row>
    <row r="1976" spans="1:6" x14ac:dyDescent="0.25">
      <c r="A1976" t="s">
        <v>52</v>
      </c>
      <c r="B1976">
        <v>3</v>
      </c>
      <c r="C1976" t="s">
        <v>38</v>
      </c>
      <c r="D1976" t="s">
        <v>8</v>
      </c>
      <c r="E1976" s="8">
        <v>45145</v>
      </c>
      <c r="F1976">
        <v>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47E18-23D9-4686-980F-D91D36B12F83}">
  <dimension ref="A1:U37"/>
  <sheetViews>
    <sheetView showGridLines="0" topLeftCell="A6" workbookViewId="0">
      <selection activeCell="J31" sqref="J31"/>
    </sheetView>
  </sheetViews>
  <sheetFormatPr defaultRowHeight="15" x14ac:dyDescent="0.25"/>
  <cols>
    <col min="1" max="1" width="9.85546875" customWidth="1"/>
    <col min="2" max="2" width="6.140625" customWidth="1"/>
    <col min="3" max="3" width="11" customWidth="1"/>
    <col min="4" max="4" width="10.7109375" customWidth="1"/>
    <col min="5" max="6" width="10.28515625" customWidth="1"/>
    <col min="7" max="8" width="10.7109375" customWidth="1"/>
    <col min="9" max="9" width="10.85546875" customWidth="1"/>
    <col min="10" max="10" width="12.140625" customWidth="1"/>
    <col min="11" max="11" width="11.42578125" customWidth="1"/>
    <col min="12" max="12" width="10.42578125" customWidth="1"/>
    <col min="13" max="13" width="16.5703125" bestFit="1" customWidth="1"/>
    <col min="14" max="14" width="13.7109375" bestFit="1" customWidth="1"/>
    <col min="21" max="21" width="11.140625" customWidth="1"/>
  </cols>
  <sheetData>
    <row r="1" spans="1:21" ht="21" x14ac:dyDescent="0.25">
      <c r="A1" s="18" t="s">
        <v>53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20"/>
      <c r="P1" s="10" t="s">
        <v>55</v>
      </c>
      <c r="Q1" s="10"/>
      <c r="R1" s="10"/>
      <c r="S1" s="10"/>
      <c r="T1" s="10"/>
      <c r="U1" s="10"/>
    </row>
    <row r="2" spans="1:21" x14ac:dyDescent="0.25">
      <c r="P2" s="9" t="s">
        <v>56</v>
      </c>
      <c r="Q2" s="9"/>
      <c r="R2" s="9"/>
      <c r="S2" s="9"/>
      <c r="T2" s="9"/>
      <c r="U2" s="9"/>
    </row>
    <row r="3" spans="1:21" x14ac:dyDescent="0.25">
      <c r="A3" s="5" t="s">
        <v>42</v>
      </c>
      <c r="B3" s="5" t="s">
        <v>21</v>
      </c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40</v>
      </c>
      <c r="N3" s="6" t="s">
        <v>31</v>
      </c>
      <c r="P3" s="9" t="s">
        <v>57</v>
      </c>
      <c r="Q3" s="9"/>
      <c r="R3" s="9"/>
      <c r="S3" s="9"/>
      <c r="T3" s="9"/>
      <c r="U3" s="9"/>
    </row>
    <row r="4" spans="1:21" x14ac:dyDescent="0.25">
      <c r="A4" s="17">
        <v>1</v>
      </c>
      <c r="B4" s="4" t="s">
        <v>10</v>
      </c>
      <c r="C4" s="1">
        <f>IFERROR(AVERAGEIFS(BD!$F:$F,BD!$B:$B,$A$4,BD!$C:$C,$B4,BD!$D:$D,C$3),"-")</f>
        <v>149.3125</v>
      </c>
      <c r="D4" s="1">
        <f>IFERROR(AVERAGEIFS(BD!$F:$F,BD!$B:$B,$A$4,BD!$C:$C,$B4,BD!$D:$D,D$3),"-")</f>
        <v>140.76470588235293</v>
      </c>
      <c r="E4" s="1" t="str">
        <f>IFERROR(AVERAGEIFS(BD!$F:$F,BD!$B:$B,$A$4,BD!$C:$C,$B4,BD!$D:$D,E$3),"-")</f>
        <v>-</v>
      </c>
      <c r="F4" s="1" t="str">
        <f>IFERROR(AVERAGEIFS(BD!$F:$F,BD!$B:$B,$A$4,BD!$C:$C,$B4,BD!$D:$D,F$3),"-")</f>
        <v>-</v>
      </c>
      <c r="G4" s="1" t="str">
        <f>IFERROR(AVERAGEIFS(BD!$F:$F,BD!$B:$B,$A$4,BD!$C:$C,$B4,BD!$D:$D,G$3),"-")</f>
        <v>-</v>
      </c>
      <c r="H4" s="1" t="str">
        <f>IFERROR(AVERAGEIFS(BD!$F:$F,BD!$B:$B,$A$4,BD!$C:$C,$B4,BD!$D:$D,H$3),"-")</f>
        <v>-</v>
      </c>
      <c r="I4" s="1" t="str">
        <f>IFERROR(AVERAGEIFS(BD!$F:$F,BD!$B:$B,$A$4,BD!$C:$C,$B4,BD!$D:$D,I$3),"-")</f>
        <v>-</v>
      </c>
      <c r="J4" s="1" t="str">
        <f>IFERROR(AVERAGEIFS(BD!$F:$F,BD!$B:$B,$A$4,BD!$C:$C,$B4,BD!$D:$D,J$3),"-")</f>
        <v>-</v>
      </c>
      <c r="K4" s="1" t="str">
        <f>IFERROR(AVERAGEIFS(BD!$F:$F,BD!$B:$B,$A$4,BD!$C:$C,$B4,BD!$D:$D,K$3),"-")</f>
        <v>-</v>
      </c>
      <c r="L4" s="1" t="str">
        <f>IFERROR(AVERAGEIFS(BD!$F:$F,BD!$B:$B,$A$4,BD!$C:$C,$B4,BD!$D:$D,L$3),"-")</f>
        <v>-</v>
      </c>
      <c r="M4" s="7">
        <f>AVERAGEIFS(BD!$F:$F,BD!$B:$B,$A$4,BD!$C:$C,$B4)</f>
        <v>144.90909090909091</v>
      </c>
      <c r="N4" s="14">
        <f>AVERAGEIFS(BD!$F:$F,BD!$B:$B,A4)</f>
        <v>111.37075332348597</v>
      </c>
      <c r="P4" s="9" t="s">
        <v>58</v>
      </c>
      <c r="Q4" s="9"/>
      <c r="R4" s="9"/>
      <c r="S4" s="9"/>
      <c r="T4" s="9"/>
      <c r="U4" s="9"/>
    </row>
    <row r="5" spans="1:21" x14ac:dyDescent="0.25">
      <c r="A5" s="17"/>
      <c r="B5" s="4" t="s">
        <v>11</v>
      </c>
      <c r="C5" s="1">
        <f>IFERROR(AVERAGEIFS(BD!$F:$F,BD!$B:$B,$A$4,BD!$C:$C,$B5,BD!$D:$D,C$3),"-")</f>
        <v>87.266666666666666</v>
      </c>
      <c r="D5" s="1">
        <f>IFERROR(AVERAGEIFS(BD!$F:$F,BD!$B:$B,$A$4,BD!$C:$C,$B5,BD!$D:$D,D$3),"-")</f>
        <v>93.071428571428569</v>
      </c>
      <c r="E5" s="1" t="str">
        <f>IFERROR(AVERAGEIFS(BD!$F:$F,BD!$B:$B,$A$4,BD!$C:$C,$B5,BD!$D:$D,E$3),"-")</f>
        <v>-</v>
      </c>
      <c r="F5" s="1" t="str">
        <f>IFERROR(AVERAGEIFS(BD!$F:$F,BD!$B:$B,$A$4,BD!$C:$C,$B5,BD!$D:$D,F$3),"-")</f>
        <v>-</v>
      </c>
      <c r="G5" s="1" t="str">
        <f>IFERROR(AVERAGEIFS(BD!$F:$F,BD!$B:$B,$A$4,BD!$C:$C,$B5,BD!$D:$D,G$3),"-")</f>
        <v>-</v>
      </c>
      <c r="H5" s="1" t="str">
        <f>IFERROR(AVERAGEIFS(BD!$F:$F,BD!$B:$B,$A$4,BD!$C:$C,$B5,BD!$D:$D,H$3),"-")</f>
        <v>-</v>
      </c>
      <c r="I5" s="1" t="str">
        <f>IFERROR(AVERAGEIFS(BD!$F:$F,BD!$B:$B,$A$4,BD!$C:$C,$B5,BD!$D:$D,I$3),"-")</f>
        <v>-</v>
      </c>
      <c r="J5" s="1" t="str">
        <f>IFERROR(AVERAGEIFS(BD!$F:$F,BD!$B:$B,$A$4,BD!$C:$C,$B5,BD!$D:$D,J$3),"-")</f>
        <v>-</v>
      </c>
      <c r="K5" s="1" t="str">
        <f>IFERROR(AVERAGEIFS(BD!$F:$F,BD!$B:$B,$A$4,BD!$C:$C,$B5,BD!$D:$D,K$3),"-")</f>
        <v>-</v>
      </c>
      <c r="L5" s="1" t="str">
        <f>IFERROR(AVERAGEIFS(BD!$F:$F,BD!$B:$B,$A$4,BD!$C:$C,$B5,BD!$D:$D,L$3),"-")</f>
        <v>-</v>
      </c>
      <c r="M5" s="7">
        <f>AVERAGEIFS(BD!$F:$F,BD!$B:$B,$A$4,BD!$C:$C,$B5)</f>
        <v>90.068965517241381</v>
      </c>
      <c r="N5" s="15"/>
    </row>
    <row r="6" spans="1:21" x14ac:dyDescent="0.25">
      <c r="A6" s="17"/>
      <c r="B6" s="4" t="s">
        <v>12</v>
      </c>
      <c r="C6" s="1">
        <f>IFERROR(AVERAGEIFS(BD!$F:$F,BD!$B:$B,$A$4,BD!$C:$C,$B6,BD!$D:$D,C$3),"-")</f>
        <v>157.66666666666666</v>
      </c>
      <c r="D6" s="1">
        <f>IFERROR(AVERAGEIFS(BD!$F:$F,BD!$B:$B,$A$4,BD!$C:$C,$B6,BD!$D:$D,D$3),"-")</f>
        <v>157.33333333333334</v>
      </c>
      <c r="E6" s="1" t="str">
        <f>IFERROR(AVERAGEIFS(BD!$F:$F,BD!$B:$B,$A$4,BD!$C:$C,$B6,BD!$D:$D,E$3),"-")</f>
        <v>-</v>
      </c>
      <c r="F6" s="1" t="str">
        <f>IFERROR(AVERAGEIFS(BD!$F:$F,BD!$B:$B,$A$4,BD!$C:$C,$B6,BD!$D:$D,F$3),"-")</f>
        <v>-</v>
      </c>
      <c r="G6" s="1" t="str">
        <f>IFERROR(AVERAGEIFS(BD!$F:$F,BD!$B:$B,$A$4,BD!$C:$C,$B6,BD!$D:$D,G$3),"-")</f>
        <v>-</v>
      </c>
      <c r="H6" s="1" t="str">
        <f>IFERROR(AVERAGEIFS(BD!$F:$F,BD!$B:$B,$A$4,BD!$C:$C,$B6,BD!$D:$D,H$3),"-")</f>
        <v>-</v>
      </c>
      <c r="I6" s="1" t="str">
        <f>IFERROR(AVERAGEIFS(BD!$F:$F,BD!$B:$B,$A$4,BD!$C:$C,$B6,BD!$D:$D,I$3),"-")</f>
        <v>-</v>
      </c>
      <c r="J6" s="1" t="str">
        <f>IFERROR(AVERAGEIFS(BD!$F:$F,BD!$B:$B,$A$4,BD!$C:$C,$B6,BD!$D:$D,J$3),"-")</f>
        <v>-</v>
      </c>
      <c r="K6" s="1" t="str">
        <f>IFERROR(AVERAGEIFS(BD!$F:$F,BD!$B:$B,$A$4,BD!$C:$C,$B6,BD!$D:$D,K$3),"-")</f>
        <v>-</v>
      </c>
      <c r="L6" s="1" t="str">
        <f>IFERROR(AVERAGEIFS(BD!$F:$F,BD!$B:$B,$A$4,BD!$C:$C,$B6,BD!$D:$D,L$3),"-")</f>
        <v>-</v>
      </c>
      <c r="M6" s="7">
        <f>AVERAGEIFS(BD!$F:$F,BD!$B:$B,$A$4,BD!$C:$C,$B6)</f>
        <v>157.5</v>
      </c>
      <c r="N6" s="15"/>
    </row>
    <row r="7" spans="1:21" x14ac:dyDescent="0.25">
      <c r="A7" s="17"/>
      <c r="B7" s="4" t="s">
        <v>13</v>
      </c>
      <c r="C7" s="1">
        <f>IFERROR(AVERAGEIFS(BD!$F:$F,BD!$B:$B,$A$4,BD!$C:$C,$B7,BD!$D:$D,C$3),"-")</f>
        <v>41.2</v>
      </c>
      <c r="D7" s="1">
        <f>IFERROR(AVERAGEIFS(BD!$F:$F,BD!$B:$B,$A$4,BD!$C:$C,$B7,BD!$D:$D,D$3),"-")</f>
        <v>25.888888888888889</v>
      </c>
      <c r="E7" s="1" t="str">
        <f>IFERROR(AVERAGEIFS(BD!$F:$F,BD!$B:$B,$A$4,BD!$C:$C,$B7,BD!$D:$D,E$3),"-")</f>
        <v>-</v>
      </c>
      <c r="F7" s="1" t="str">
        <f>IFERROR(AVERAGEIFS(BD!$F:$F,BD!$B:$B,$A$4,BD!$C:$C,$B7,BD!$D:$D,F$3),"-")</f>
        <v>-</v>
      </c>
      <c r="G7" s="1" t="str">
        <f>IFERROR(AVERAGEIFS(BD!$F:$F,BD!$B:$B,$A$4,BD!$C:$C,$B7,BD!$D:$D,G$3),"-")</f>
        <v>-</v>
      </c>
      <c r="H7" s="1" t="str">
        <f>IFERROR(AVERAGEIFS(BD!$F:$F,BD!$B:$B,$A$4,BD!$C:$C,$B7,BD!$D:$D,H$3),"-")</f>
        <v>-</v>
      </c>
      <c r="I7" s="1" t="str">
        <f>IFERROR(AVERAGEIFS(BD!$F:$F,BD!$B:$B,$A$4,BD!$C:$C,$B7,BD!$D:$D,I$3),"-")</f>
        <v>-</v>
      </c>
      <c r="J7" s="1" t="str">
        <f>IFERROR(AVERAGEIFS(BD!$F:$F,BD!$B:$B,$A$4,BD!$C:$C,$B7,BD!$D:$D,J$3),"-")</f>
        <v>-</v>
      </c>
      <c r="K7" s="1" t="str">
        <f>IFERROR(AVERAGEIFS(BD!$F:$F,BD!$B:$B,$A$4,BD!$C:$C,$B7,BD!$D:$D,K$3),"-")</f>
        <v>-</v>
      </c>
      <c r="L7" s="1" t="str">
        <f>IFERROR(AVERAGEIFS(BD!$F:$F,BD!$B:$B,$A$4,BD!$C:$C,$B7,BD!$D:$D,L$3),"-")</f>
        <v>-</v>
      </c>
      <c r="M7" s="7">
        <f>AVERAGEIFS(BD!$F:$F,BD!$B:$B,$A$4,BD!$C:$C,$B7)</f>
        <v>31.357142857142858</v>
      </c>
      <c r="N7" s="15"/>
    </row>
    <row r="8" spans="1:21" x14ac:dyDescent="0.25">
      <c r="A8" s="17"/>
      <c r="B8" s="4" t="s">
        <v>14</v>
      </c>
      <c r="C8" s="1">
        <f>IFERROR(AVERAGEIFS(BD!$F:$F,BD!$B:$B,$A$4,BD!$C:$C,$B8,BD!$D:$D,C$3),"-")</f>
        <v>93.244897959183675</v>
      </c>
      <c r="D8" s="1">
        <f>IFERROR(AVERAGEIFS(BD!$F:$F,BD!$B:$B,$A$4,BD!$C:$C,$B8,BD!$D:$D,D$3),"-")</f>
        <v>99.357142857142861</v>
      </c>
      <c r="E8" s="1" t="str">
        <f>IFERROR(AVERAGEIFS(BD!$F:$F,BD!$B:$B,$A$4,BD!$C:$C,$B8,BD!$D:$D,E$3),"-")</f>
        <v>-</v>
      </c>
      <c r="F8" s="1" t="str">
        <f>IFERROR(AVERAGEIFS(BD!$F:$F,BD!$B:$B,$A$4,BD!$C:$C,$B8,BD!$D:$D,F$3),"-")</f>
        <v>-</v>
      </c>
      <c r="G8" s="1" t="str">
        <f>IFERROR(AVERAGEIFS(BD!$F:$F,BD!$B:$B,$A$4,BD!$C:$C,$B8,BD!$D:$D,G$3),"-")</f>
        <v>-</v>
      </c>
      <c r="H8" s="1" t="str">
        <f>IFERROR(AVERAGEIFS(BD!$F:$F,BD!$B:$B,$A$4,BD!$C:$C,$B8,BD!$D:$D,H$3),"-")</f>
        <v>-</v>
      </c>
      <c r="I8" s="1" t="str">
        <f>IFERROR(AVERAGEIFS(BD!$F:$F,BD!$B:$B,$A$4,BD!$C:$C,$B8,BD!$D:$D,I$3),"-")</f>
        <v>-</v>
      </c>
      <c r="J8" s="1" t="str">
        <f>IFERROR(AVERAGEIFS(BD!$F:$F,BD!$B:$B,$A$4,BD!$C:$C,$B8,BD!$D:$D,J$3),"-")</f>
        <v>-</v>
      </c>
      <c r="K8" s="1">
        <f>IFERROR(AVERAGEIFS(BD!$F:$F,BD!$B:$B,$A$4,BD!$C:$C,$B8,BD!$D:$D,K$3),"-")</f>
        <v>0</v>
      </c>
      <c r="L8" s="1" t="str">
        <f>IFERROR(AVERAGEIFS(BD!$F:$F,BD!$B:$B,$A$4,BD!$C:$C,$B8,BD!$D:$D,L$3),"-")</f>
        <v>-</v>
      </c>
      <c r="M8" s="7">
        <f>AVERAGEIFS(BD!$F:$F,BD!$B:$B,$A$4,BD!$C:$C,$B8)</f>
        <v>95.594339622641513</v>
      </c>
      <c r="N8" s="15"/>
    </row>
    <row r="9" spans="1:21" x14ac:dyDescent="0.25">
      <c r="A9" s="17"/>
      <c r="B9" s="4" t="s">
        <v>15</v>
      </c>
      <c r="C9" s="1">
        <f>IFERROR(AVERAGEIFS(BD!$F:$F,BD!$B:$B,$A$4,BD!$C:$C,$B9,BD!$D:$D,C$3),"-")</f>
        <v>100.77966101694915</v>
      </c>
      <c r="D9" s="1">
        <f>IFERROR(AVERAGEIFS(BD!$F:$F,BD!$B:$B,$A$4,BD!$C:$C,$B9,BD!$D:$D,D$3),"-")</f>
        <v>102.76666666666667</v>
      </c>
      <c r="E9" s="1" t="str">
        <f>IFERROR(AVERAGEIFS(BD!$F:$F,BD!$B:$B,$A$4,BD!$C:$C,$B9,BD!$D:$D,E$3),"-")</f>
        <v>-</v>
      </c>
      <c r="F9" s="1" t="str">
        <f>IFERROR(AVERAGEIFS(BD!$F:$F,BD!$B:$B,$A$4,BD!$C:$C,$B9,BD!$D:$D,F$3),"-")</f>
        <v>-</v>
      </c>
      <c r="G9" s="1" t="str">
        <f>IFERROR(AVERAGEIFS(BD!$F:$F,BD!$B:$B,$A$4,BD!$C:$C,$B9,BD!$D:$D,G$3),"-")</f>
        <v>-</v>
      </c>
      <c r="H9" s="1" t="str">
        <f>IFERROR(AVERAGEIFS(BD!$F:$F,BD!$B:$B,$A$4,BD!$C:$C,$B9,BD!$D:$D,H$3),"-")</f>
        <v>-</v>
      </c>
      <c r="I9" s="1" t="str">
        <f>IFERROR(AVERAGEIFS(BD!$F:$F,BD!$B:$B,$A$4,BD!$C:$C,$B9,BD!$D:$D,I$3),"-")</f>
        <v>-</v>
      </c>
      <c r="J9" s="1" t="str">
        <f>IFERROR(AVERAGEIFS(BD!$F:$F,BD!$B:$B,$A$4,BD!$C:$C,$B9,BD!$D:$D,J$3),"-")</f>
        <v>-</v>
      </c>
      <c r="K9" s="1" t="str">
        <f>IFERROR(AVERAGEIFS(BD!$F:$F,BD!$B:$B,$A$4,BD!$C:$C,$B9,BD!$D:$D,K$3),"-")</f>
        <v>-</v>
      </c>
      <c r="L9" s="1" t="str">
        <f>IFERROR(AVERAGEIFS(BD!$F:$F,BD!$B:$B,$A$4,BD!$C:$C,$B9,BD!$D:$D,L$3),"-")</f>
        <v>-</v>
      </c>
      <c r="M9" s="7">
        <f>AVERAGEIFS(BD!$F:$F,BD!$B:$B,$A$4,BD!$C:$C,$B9)</f>
        <v>101.78151260504201</v>
      </c>
      <c r="N9" s="15"/>
    </row>
    <row r="10" spans="1:21" x14ac:dyDescent="0.25">
      <c r="A10" s="17"/>
      <c r="B10" s="4" t="s">
        <v>16</v>
      </c>
      <c r="C10" s="1">
        <f>IFERROR(AVERAGEIFS(BD!$F:$F,BD!$B:$B,$A$4,BD!$C:$C,$B10,BD!$D:$D,C$3),"-")</f>
        <v>123.42857142857143</v>
      </c>
      <c r="D10" s="1">
        <f>IFERROR(AVERAGEIFS(BD!$F:$F,BD!$B:$B,$A$4,BD!$C:$C,$B10,BD!$D:$D,D$3),"-")</f>
        <v>114.47540983606558</v>
      </c>
      <c r="E10" s="1" t="str">
        <f>IFERROR(AVERAGEIFS(BD!$F:$F,BD!$B:$B,$A$4,BD!$C:$C,$B10,BD!$D:$D,E$3),"-")</f>
        <v>-</v>
      </c>
      <c r="F10" s="1" t="str">
        <f>IFERROR(AVERAGEIFS(BD!$F:$F,BD!$B:$B,$A$4,BD!$C:$C,$B10,BD!$D:$D,F$3),"-")</f>
        <v>-</v>
      </c>
      <c r="G10" s="1" t="str">
        <f>IFERROR(AVERAGEIFS(BD!$F:$F,BD!$B:$B,$A$4,BD!$C:$C,$B10,BD!$D:$D,G$3),"-")</f>
        <v>-</v>
      </c>
      <c r="H10" s="1" t="str">
        <f>IFERROR(AVERAGEIFS(BD!$F:$F,BD!$B:$B,$A$4,BD!$C:$C,$B10,BD!$D:$D,H$3),"-")</f>
        <v>-</v>
      </c>
      <c r="I10" s="1" t="str">
        <f>IFERROR(AVERAGEIFS(BD!$F:$F,BD!$B:$B,$A$4,BD!$C:$C,$B10,BD!$D:$D,I$3),"-")</f>
        <v>-</v>
      </c>
      <c r="J10" s="1" t="str">
        <f>IFERROR(AVERAGEIFS(BD!$F:$F,BD!$B:$B,$A$4,BD!$C:$C,$B10,BD!$D:$D,J$3),"-")</f>
        <v>-</v>
      </c>
      <c r="K10" s="1" t="str">
        <f>IFERROR(AVERAGEIFS(BD!$F:$F,BD!$B:$B,$A$4,BD!$C:$C,$B10,BD!$D:$D,K$3),"-")</f>
        <v>-</v>
      </c>
      <c r="L10" s="1" t="str">
        <f>IFERROR(AVERAGEIFS(BD!$F:$F,BD!$B:$B,$A$4,BD!$C:$C,$B10,BD!$D:$D,L$3),"-")</f>
        <v>-</v>
      </c>
      <c r="M10" s="7">
        <f>AVERAGEIFS(BD!$F:$F,BD!$B:$B,$A$4,BD!$C:$C,$B10)</f>
        <v>118.76068376068376</v>
      </c>
      <c r="N10" s="15"/>
    </row>
    <row r="11" spans="1:21" x14ac:dyDescent="0.25">
      <c r="A11" s="17"/>
      <c r="B11" s="4" t="s">
        <v>17</v>
      </c>
      <c r="C11" s="1">
        <f>IFERROR(AVERAGEIFS(BD!$F:$F,BD!$B:$B,$A$4,BD!$C:$C,$B11,BD!$D:$D,C$3),"-")</f>
        <v>118.34146341463415</v>
      </c>
      <c r="D11" s="1">
        <f>IFERROR(AVERAGEIFS(BD!$F:$F,BD!$B:$B,$A$4,BD!$C:$C,$B11,BD!$D:$D,D$3),"-")</f>
        <v>103.90384615384616</v>
      </c>
      <c r="E11" s="1" t="str">
        <f>IFERROR(AVERAGEIFS(BD!$F:$F,BD!$B:$B,$A$4,BD!$C:$C,$B11,BD!$D:$D,E$3),"-")</f>
        <v>-</v>
      </c>
      <c r="F11" s="1" t="str">
        <f>IFERROR(AVERAGEIFS(BD!$F:$F,BD!$B:$B,$A$4,BD!$C:$C,$B11,BD!$D:$D,F$3),"-")</f>
        <v>-</v>
      </c>
      <c r="G11" s="1" t="str">
        <f>IFERROR(AVERAGEIFS(BD!$F:$F,BD!$B:$B,$A$4,BD!$C:$C,$B11,BD!$D:$D,G$3),"-")</f>
        <v>-</v>
      </c>
      <c r="H11" s="1" t="str">
        <f>IFERROR(AVERAGEIFS(BD!$F:$F,BD!$B:$B,$A$4,BD!$C:$C,$B11,BD!$D:$D,H$3),"-")</f>
        <v>-</v>
      </c>
      <c r="I11" s="1" t="str">
        <f>IFERROR(AVERAGEIFS(BD!$F:$F,BD!$B:$B,$A$4,BD!$C:$C,$B11,BD!$D:$D,I$3),"-")</f>
        <v>-</v>
      </c>
      <c r="J11" s="1" t="str">
        <f>IFERROR(AVERAGEIFS(BD!$F:$F,BD!$B:$B,$A$4,BD!$C:$C,$B11,BD!$D:$D,J$3),"-")</f>
        <v>-</v>
      </c>
      <c r="K11" s="1" t="str">
        <f>IFERROR(AVERAGEIFS(BD!$F:$F,BD!$B:$B,$A$4,BD!$C:$C,$B11,BD!$D:$D,K$3),"-")</f>
        <v>-</v>
      </c>
      <c r="L11" s="1" t="str">
        <f>IFERROR(AVERAGEIFS(BD!$F:$F,BD!$B:$B,$A$4,BD!$C:$C,$B11,BD!$D:$D,L$3),"-")</f>
        <v>-</v>
      </c>
      <c r="M11" s="7">
        <f>AVERAGEIFS(BD!$F:$F,BD!$B:$B,$A$4,BD!$C:$C,$B11)</f>
        <v>110.26881720430107</v>
      </c>
      <c r="N11" s="15"/>
    </row>
    <row r="12" spans="1:21" x14ac:dyDescent="0.25">
      <c r="A12" s="17"/>
      <c r="B12" s="4" t="s">
        <v>18</v>
      </c>
      <c r="C12" s="1">
        <f>IFERROR(AVERAGEIFS(BD!$F:$F,BD!$B:$B,$A$4,BD!$C:$C,$B12,BD!$D:$D,C$3),"-")</f>
        <v>149.65384615384616</v>
      </c>
      <c r="D12" s="1">
        <f>IFERROR(AVERAGEIFS(BD!$F:$F,BD!$B:$B,$A$4,BD!$C:$C,$B12,BD!$D:$D,D$3),"-")</f>
        <v>153.91999999999999</v>
      </c>
      <c r="E12" s="1" t="str">
        <f>IFERROR(AVERAGEIFS(BD!$F:$F,BD!$B:$B,$A$4,BD!$C:$C,$B12,BD!$D:$D,E$3),"-")</f>
        <v>-</v>
      </c>
      <c r="F12" s="1" t="str">
        <f>IFERROR(AVERAGEIFS(BD!$F:$F,BD!$B:$B,$A$4,BD!$C:$C,$B12,BD!$D:$D,F$3),"-")</f>
        <v>-</v>
      </c>
      <c r="G12" s="1" t="str">
        <f>IFERROR(AVERAGEIFS(BD!$F:$F,BD!$B:$B,$A$4,BD!$C:$C,$B12,BD!$D:$D,G$3),"-")</f>
        <v>-</v>
      </c>
      <c r="H12" s="1" t="str">
        <f>IFERROR(AVERAGEIFS(BD!$F:$F,BD!$B:$B,$A$4,BD!$C:$C,$B12,BD!$D:$D,H$3),"-")</f>
        <v>-</v>
      </c>
      <c r="I12" s="1" t="str">
        <f>IFERROR(AVERAGEIFS(BD!$F:$F,BD!$B:$B,$A$4,BD!$C:$C,$B12,BD!$D:$D,I$3),"-")</f>
        <v>-</v>
      </c>
      <c r="J12" s="1" t="str">
        <f>IFERROR(AVERAGEIFS(BD!$F:$F,BD!$B:$B,$A$4,BD!$C:$C,$B12,BD!$D:$D,J$3),"-")</f>
        <v>-</v>
      </c>
      <c r="K12" s="1" t="str">
        <f>IFERROR(AVERAGEIFS(BD!$F:$F,BD!$B:$B,$A$4,BD!$C:$C,$B12,BD!$D:$D,K$3),"-")</f>
        <v>-</v>
      </c>
      <c r="L12" s="1" t="str">
        <f>IFERROR(AVERAGEIFS(BD!$F:$F,BD!$B:$B,$A$4,BD!$C:$C,$B12,BD!$D:$D,L$3),"-")</f>
        <v>-</v>
      </c>
      <c r="M12" s="7">
        <f>AVERAGEIFS(BD!$F:$F,BD!$B:$B,$A$4,BD!$C:$C,$B12)</f>
        <v>151.74509803921569</v>
      </c>
      <c r="N12" s="15"/>
    </row>
    <row r="13" spans="1:21" x14ac:dyDescent="0.25">
      <c r="A13" s="17"/>
      <c r="B13" s="4" t="s">
        <v>19</v>
      </c>
      <c r="C13" s="1">
        <f>IFERROR(AVERAGEIFS(BD!$F:$F,BD!$B:$B,$A$4,BD!$C:$C,$B13,BD!$D:$D,C$3),"-")</f>
        <v>144.75</v>
      </c>
      <c r="D13" s="1">
        <f>IFERROR(AVERAGEIFS(BD!$F:$F,BD!$B:$B,$A$4,BD!$C:$C,$B13,BD!$D:$D,D$3),"-")</f>
        <v>121.05263157894737</v>
      </c>
      <c r="E13" s="1" t="str">
        <f>IFERROR(AVERAGEIFS(BD!$F:$F,BD!$B:$B,$A$4,BD!$C:$C,$B13,BD!$D:$D,E$3),"-")</f>
        <v>-</v>
      </c>
      <c r="F13" s="1" t="str">
        <f>IFERROR(AVERAGEIFS(BD!$F:$F,BD!$B:$B,$A$4,BD!$C:$C,$B13,BD!$D:$D,F$3),"-")</f>
        <v>-</v>
      </c>
      <c r="G13" s="1" t="str">
        <f>IFERROR(AVERAGEIFS(BD!$F:$F,BD!$B:$B,$A$4,BD!$C:$C,$B13,BD!$D:$D,G$3),"-")</f>
        <v>-</v>
      </c>
      <c r="H13" s="1" t="str">
        <f>IFERROR(AVERAGEIFS(BD!$F:$F,BD!$B:$B,$A$4,BD!$C:$C,$B13,BD!$D:$D,H$3),"-")</f>
        <v>-</v>
      </c>
      <c r="I13" s="1" t="str">
        <f>IFERROR(AVERAGEIFS(BD!$F:$F,BD!$B:$B,$A$4,BD!$C:$C,$B13,BD!$D:$D,I$3),"-")</f>
        <v>-</v>
      </c>
      <c r="J13" s="1" t="str">
        <f>IFERROR(AVERAGEIFS(BD!$F:$F,BD!$B:$B,$A$4,BD!$C:$C,$B13,BD!$D:$D,J$3),"-")</f>
        <v>-</v>
      </c>
      <c r="K13" s="1" t="str">
        <f>IFERROR(AVERAGEIFS(BD!$F:$F,BD!$B:$B,$A$4,BD!$C:$C,$B13,BD!$D:$D,K$3),"-")</f>
        <v>-</v>
      </c>
      <c r="L13" s="1" t="str">
        <f>IFERROR(AVERAGEIFS(BD!$F:$F,BD!$B:$B,$A$4,BD!$C:$C,$B13,BD!$D:$D,L$3),"-")</f>
        <v>-</v>
      </c>
      <c r="M13" s="7">
        <f>AVERAGEIFS(BD!$F:$F,BD!$B:$B,$A$4,BD!$C:$C,$B13)</f>
        <v>131.88571428571427</v>
      </c>
      <c r="N13" s="15"/>
    </row>
    <row r="14" spans="1:21" x14ac:dyDescent="0.25">
      <c r="A14" s="17"/>
      <c r="B14" s="4" t="s">
        <v>20</v>
      </c>
      <c r="C14" s="1">
        <f>IFERROR(AVERAGEIFS(BD!$F:$F,BD!$B:$B,$A$4,BD!$C:$C,$B14,BD!$D:$D,C$3),"-")</f>
        <v>129.08000000000001</v>
      </c>
      <c r="D14" s="1">
        <f>IFERROR(AVERAGEIFS(BD!$F:$F,BD!$B:$B,$A$4,BD!$C:$C,$B14,BD!$D:$D,D$3),"-")</f>
        <v>112.37931034482759</v>
      </c>
      <c r="E14" s="1" t="str">
        <f>IFERROR(AVERAGEIFS(BD!$F:$F,BD!$B:$B,$A$4,BD!$C:$C,$B14,BD!$D:$D,E$3),"-")</f>
        <v>-</v>
      </c>
      <c r="F14" s="1" t="str">
        <f>IFERROR(AVERAGEIFS(BD!$F:$F,BD!$B:$B,$A$4,BD!$C:$C,$B14,BD!$D:$D,F$3),"-")</f>
        <v>-</v>
      </c>
      <c r="G14" s="1" t="str">
        <f>IFERROR(AVERAGEIFS(BD!$F:$F,BD!$B:$B,$A$4,BD!$C:$C,$B14,BD!$D:$D,G$3),"-")</f>
        <v>-</v>
      </c>
      <c r="H14" s="1" t="str">
        <f>IFERROR(AVERAGEIFS(BD!$F:$F,BD!$B:$B,$A$4,BD!$C:$C,$B14,BD!$D:$D,H$3),"-")</f>
        <v>-</v>
      </c>
      <c r="I14" s="1" t="str">
        <f>IFERROR(AVERAGEIFS(BD!$F:$F,BD!$B:$B,$A$4,BD!$C:$C,$B14,BD!$D:$D,I$3),"-")</f>
        <v>-</v>
      </c>
      <c r="J14" s="1" t="str">
        <f>IFERROR(AVERAGEIFS(BD!$F:$F,BD!$B:$B,$A$4,BD!$C:$C,$B14,BD!$D:$D,J$3),"-")</f>
        <v>-</v>
      </c>
      <c r="K14" s="1" t="str">
        <f>IFERROR(AVERAGEIFS(BD!$F:$F,BD!$B:$B,$A$4,BD!$C:$C,$B14,BD!$D:$D,K$3),"-")</f>
        <v>-</v>
      </c>
      <c r="L14" s="1" t="str">
        <f>IFERROR(AVERAGEIFS(BD!$F:$F,BD!$B:$B,$A$4,BD!$C:$C,$B14,BD!$D:$D,L$3),"-")</f>
        <v>-</v>
      </c>
      <c r="M14" s="7">
        <f>AVERAGEIFS(BD!$F:$F,BD!$B:$B,$A$4,BD!$C:$C,$B14)</f>
        <v>120.11111111111111</v>
      </c>
      <c r="N14" s="15"/>
    </row>
    <row r="15" spans="1:21" x14ac:dyDescent="0.25">
      <c r="A15" s="12" t="s">
        <v>54</v>
      </c>
      <c r="B15" s="13"/>
      <c r="C15" s="7">
        <f>IFERROR(AVERAGEIFS(BD!$F:$F,BD!$D:$D,C$3,BD!$B:$B,$A$4),"-")</f>
        <v>115.26332288401254</v>
      </c>
      <c r="D15" s="7">
        <f>IFERROR(AVERAGEIFS(BD!$F:$F,BD!$D:$D,D$3,BD!$B:$B,$A$4),"-")</f>
        <v>108.20448179271709</v>
      </c>
      <c r="E15" s="7" t="str">
        <f>IFERROR(AVERAGEIFS(BD!$F:$F,BD!$D:$D,E$3,BD!$B:$B,$A$4),"-")</f>
        <v>-</v>
      </c>
      <c r="F15" s="7" t="str">
        <f>IFERROR(AVERAGEIFS(BD!$F:$F,BD!$D:$D,F$3,BD!$B:$B,$A$4),"-")</f>
        <v>-</v>
      </c>
      <c r="G15" s="7" t="str">
        <f>IFERROR(AVERAGEIFS(BD!$F:$F,BD!$D:$D,G$3,BD!$B:$B,$A$4),"-")</f>
        <v>-</v>
      </c>
      <c r="H15" s="7" t="str">
        <f>IFERROR(AVERAGEIFS(BD!$F:$F,BD!$D:$D,H$3,BD!$B:$B,$A$4),"-")</f>
        <v>-</v>
      </c>
      <c r="I15" s="7" t="str">
        <f>IFERROR(AVERAGEIFS(BD!$F:$F,BD!$D:$D,I$3,BD!$B:$B,$A$4),"-")</f>
        <v>-</v>
      </c>
      <c r="J15" s="7" t="str">
        <f>IFERROR(AVERAGEIFS(BD!$F:$F,BD!$D:$D,J$3,BD!$B:$B,$A$4),"-")</f>
        <v>-</v>
      </c>
      <c r="K15" s="7">
        <f>IFERROR(AVERAGEIFS(BD!$F:$F,BD!$D:$D,K$3,BD!$B:$B,$A$4),"-")</f>
        <v>0</v>
      </c>
      <c r="L15" s="7" t="str">
        <f>IFERROR(AVERAGEIFS(BD!$F:$F,BD!$D:$D,L$3,BD!$B:$B,$A$4),"-")</f>
        <v>-</v>
      </c>
      <c r="M15" s="7" t="s">
        <v>41</v>
      </c>
      <c r="N15" s="16"/>
    </row>
    <row r="16" spans="1:21" x14ac:dyDescent="0.25">
      <c r="A16" s="2"/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20" x14ac:dyDescent="0.25">
      <c r="A17" s="5" t="s">
        <v>42</v>
      </c>
      <c r="B17" s="5" t="s">
        <v>21</v>
      </c>
      <c r="C17" s="5" t="s">
        <v>0</v>
      </c>
      <c r="D17" s="5" t="s">
        <v>1</v>
      </c>
      <c r="E17" s="5" t="s">
        <v>2</v>
      </c>
      <c r="F17" s="5" t="s">
        <v>3</v>
      </c>
      <c r="G17" s="5" t="s">
        <v>4</v>
      </c>
      <c r="H17" s="5" t="s">
        <v>5</v>
      </c>
      <c r="I17" s="5" t="s">
        <v>6</v>
      </c>
      <c r="J17" s="5" t="s">
        <v>7</v>
      </c>
      <c r="K17" s="5" t="s">
        <v>8</v>
      </c>
      <c r="L17" s="5" t="s">
        <v>9</v>
      </c>
      <c r="M17" s="5" t="s">
        <v>39</v>
      </c>
      <c r="N17" s="6" t="s">
        <v>31</v>
      </c>
    </row>
    <row r="18" spans="1:20" x14ac:dyDescent="0.25">
      <c r="A18" s="17">
        <v>2</v>
      </c>
      <c r="B18" s="4" t="s">
        <v>22</v>
      </c>
      <c r="C18" s="1" t="str">
        <f>IFERROR(AVERAGEIFS(BD!$F:$F,BD!$B:$B,$A$18,BD!$C:$C,$B18,BD!$D:$D,C$17),"-")</f>
        <v>-</v>
      </c>
      <c r="D18" s="1" t="str">
        <f>IFERROR(AVERAGEIFS(BD!$F:$F,BD!$B:$B,$A$18,BD!$C:$C,$B18,BD!$D:$D,D$17),"-")</f>
        <v>-</v>
      </c>
      <c r="E18" s="1">
        <f>IFERROR(AVERAGEIFS(BD!$F:$F,BD!$B:$B,$A$18,BD!$C:$C,$B18,BD!$D:$D,E$17),"-")</f>
        <v>127.38461538461539</v>
      </c>
      <c r="F18" s="1" t="str">
        <f>IFERROR(AVERAGEIFS(BD!$F:$F,BD!$B:$B,$A$18,BD!$C:$C,$B18,BD!$D:$D,F$17),"-")</f>
        <v>-</v>
      </c>
      <c r="G18" s="1" t="str">
        <f>IFERROR(AVERAGEIFS(BD!$F:$F,BD!$B:$B,$A$18,BD!$C:$C,$B18,BD!$D:$D,G$17),"-")</f>
        <v>-</v>
      </c>
      <c r="H18" s="1" t="str">
        <f>IFERROR(AVERAGEIFS(BD!$F:$F,BD!$B:$B,$A$18,BD!$C:$C,$B18,BD!$D:$D,H$17),"-")</f>
        <v>-</v>
      </c>
      <c r="I18" s="1" t="str">
        <f>IFERROR(AVERAGEIFS(BD!$F:$F,BD!$B:$B,$A$18,BD!$C:$C,$B18,BD!$D:$D,I$17),"-")</f>
        <v>-</v>
      </c>
      <c r="J18" s="1" t="str">
        <f>IFERROR(AVERAGEIFS(BD!$F:$F,BD!$B:$B,$A$18,BD!$C:$C,$B18,BD!$D:$D,J$17),"-")</f>
        <v>-</v>
      </c>
      <c r="K18" s="1" t="str">
        <f>IFERROR(AVERAGEIFS(BD!$F:$F,BD!$B:$B,$A$18,BD!$C:$C,$B18,BD!$D:$D,K$17),"-")</f>
        <v>-</v>
      </c>
      <c r="L18" s="1" t="str">
        <f>IFERROR(AVERAGEIFS(BD!$F:$F,BD!$B:$B,$A$18,BD!$C:$C,$B18,BD!$D:$D,L$17),"-")</f>
        <v>-</v>
      </c>
      <c r="M18" s="7">
        <f>AVERAGEIFS(BD!$F:$F,BD!$B:$B,$A$18,BD!$C:$C,$B18)</f>
        <v>127.38461538461539</v>
      </c>
      <c r="N18" s="21">
        <f>AVERAGEIFS(BD!$F:$F,BD!$B:$B,A18)</f>
        <v>121.24382207578253</v>
      </c>
    </row>
    <row r="19" spans="1:20" x14ac:dyDescent="0.25">
      <c r="A19" s="17"/>
      <c r="B19" s="4" t="s">
        <v>23</v>
      </c>
      <c r="C19" s="1" t="str">
        <f>IFERROR(AVERAGEIFS(BD!$F:$F,BD!$B:$B,$A$18,BD!$C:$C,$B19,BD!$D:$D,C$17),"-")</f>
        <v>-</v>
      </c>
      <c r="D19" s="1" t="str">
        <f>IFERROR(AVERAGEIFS(BD!$F:$F,BD!$B:$B,$A$18,BD!$C:$C,$B19,BD!$D:$D,D$17),"-")</f>
        <v>-</v>
      </c>
      <c r="E19" s="1">
        <f>IFERROR(AVERAGEIFS(BD!$F:$F,BD!$B:$B,$A$18,BD!$C:$C,$B19,BD!$D:$D,E$17),"-")</f>
        <v>118.84375</v>
      </c>
      <c r="F19" s="1" t="str">
        <f>IFERROR(AVERAGEIFS(BD!$F:$F,BD!$B:$B,$A$18,BD!$C:$C,$B19,BD!$D:$D,F$17),"-")</f>
        <v>-</v>
      </c>
      <c r="G19" s="1" t="str">
        <f>IFERROR(AVERAGEIFS(BD!$F:$F,BD!$B:$B,$A$18,BD!$C:$C,$B19,BD!$D:$D,G$17),"-")</f>
        <v>-</v>
      </c>
      <c r="H19" s="1" t="str">
        <f>IFERROR(AVERAGEIFS(BD!$F:$F,BD!$B:$B,$A$18,BD!$C:$C,$B19,BD!$D:$D,H$17),"-")</f>
        <v>-</v>
      </c>
      <c r="I19" s="1" t="str">
        <f>IFERROR(AVERAGEIFS(BD!$F:$F,BD!$B:$B,$A$18,BD!$C:$C,$B19,BD!$D:$D,I$17),"-")</f>
        <v>-</v>
      </c>
      <c r="J19" s="1" t="str">
        <f>IFERROR(AVERAGEIFS(BD!$F:$F,BD!$B:$B,$A$18,BD!$C:$C,$B19,BD!$D:$D,J$17),"-")</f>
        <v>-</v>
      </c>
      <c r="K19" s="1" t="str">
        <f>IFERROR(AVERAGEIFS(BD!$F:$F,BD!$B:$B,$A$18,BD!$C:$C,$B19,BD!$D:$D,K$17),"-")</f>
        <v>-</v>
      </c>
      <c r="L19" s="1" t="str">
        <f>IFERROR(AVERAGEIFS(BD!$F:$F,BD!$B:$B,$A$18,BD!$C:$C,$B19,BD!$D:$D,L$17),"-")</f>
        <v>-</v>
      </c>
      <c r="M19" s="7">
        <f>AVERAGEIFS(BD!$F:$F,BD!$B:$B,$A$18,BD!$C:$C,$B19)</f>
        <v>118.84375</v>
      </c>
      <c r="N19" s="21"/>
    </row>
    <row r="20" spans="1:20" x14ac:dyDescent="0.25">
      <c r="A20" s="17"/>
      <c r="B20" s="4" t="s">
        <v>24</v>
      </c>
      <c r="C20" s="1" t="str">
        <f>IFERROR(AVERAGEIFS(BD!$F:$F,BD!$B:$B,$A$18,BD!$C:$C,$B20,BD!$D:$D,C$17),"-")</f>
        <v>-</v>
      </c>
      <c r="D20" s="1" t="str">
        <f>IFERROR(AVERAGEIFS(BD!$F:$F,BD!$B:$B,$A$18,BD!$C:$C,$B20,BD!$D:$D,D$17),"-")</f>
        <v>-</v>
      </c>
      <c r="E20" s="1" t="str">
        <f>IFERROR(AVERAGEIFS(BD!$F:$F,BD!$B:$B,$A$18,BD!$C:$C,$B20,BD!$D:$D,E$17),"-")</f>
        <v>-</v>
      </c>
      <c r="F20" s="1">
        <f>IFERROR(AVERAGEIFS(BD!$F:$F,BD!$B:$B,$A$18,BD!$C:$C,$B20,BD!$D:$D,F$17),"-")</f>
        <v>108.85507246376811</v>
      </c>
      <c r="G20" s="1" t="str">
        <f>IFERROR(AVERAGEIFS(BD!$F:$F,BD!$B:$B,$A$18,BD!$C:$C,$B20,BD!$D:$D,G$17),"-")</f>
        <v>-</v>
      </c>
      <c r="H20" s="1" t="str">
        <f>IFERROR(AVERAGEIFS(BD!$F:$F,BD!$B:$B,$A$18,BD!$C:$C,$B20,BD!$D:$D,H$17),"-")</f>
        <v>-</v>
      </c>
      <c r="I20" s="1" t="str">
        <f>IFERROR(AVERAGEIFS(BD!$F:$F,BD!$B:$B,$A$18,BD!$C:$C,$B20,BD!$D:$D,I$17),"-")</f>
        <v>-</v>
      </c>
      <c r="J20" s="1" t="str">
        <f>IFERROR(AVERAGEIFS(BD!$F:$F,BD!$B:$B,$A$18,BD!$C:$C,$B20,BD!$D:$D,J$17),"-")</f>
        <v>-</v>
      </c>
      <c r="K20" s="1" t="str">
        <f>IFERROR(AVERAGEIFS(BD!$F:$F,BD!$B:$B,$A$18,BD!$C:$C,$B20,BD!$D:$D,K$17),"-")</f>
        <v>-</v>
      </c>
      <c r="L20" s="1" t="str">
        <f>IFERROR(AVERAGEIFS(BD!$F:$F,BD!$B:$B,$A$18,BD!$C:$C,$B20,BD!$D:$D,L$17),"-")</f>
        <v>-</v>
      </c>
      <c r="M20" s="7">
        <f>AVERAGEIFS(BD!$F:$F,BD!$B:$B,$A$18,BD!$C:$C,$B20)</f>
        <v>108.85507246376811</v>
      </c>
      <c r="N20" s="21"/>
    </row>
    <row r="21" spans="1:20" x14ac:dyDescent="0.25">
      <c r="A21" s="17"/>
      <c r="B21" s="4" t="s">
        <v>25</v>
      </c>
      <c r="C21" s="1" t="str">
        <f>IFERROR(AVERAGEIFS(BD!$F:$F,BD!$B:$B,$A$18,BD!$C:$C,$B21,BD!$D:$D,C$17),"-")</f>
        <v>-</v>
      </c>
      <c r="D21" s="1" t="str">
        <f>IFERROR(AVERAGEIFS(BD!$F:$F,BD!$B:$B,$A$18,BD!$C:$C,$B21,BD!$D:$D,D$17),"-")</f>
        <v>-</v>
      </c>
      <c r="E21" s="1" t="str">
        <f>IFERROR(AVERAGEIFS(BD!$F:$F,BD!$B:$B,$A$18,BD!$C:$C,$B21,BD!$D:$D,E$17),"-")</f>
        <v>-</v>
      </c>
      <c r="F21" s="1">
        <f>IFERROR(AVERAGEIFS(BD!$F:$F,BD!$B:$B,$A$18,BD!$C:$C,$B21,BD!$D:$D,F$17),"-")</f>
        <v>145.14666666666668</v>
      </c>
      <c r="G21" s="1" t="str">
        <f>IFERROR(AVERAGEIFS(BD!$F:$F,BD!$B:$B,$A$18,BD!$C:$C,$B21,BD!$D:$D,G$17),"-")</f>
        <v>-</v>
      </c>
      <c r="H21" s="1" t="str">
        <f>IFERROR(AVERAGEIFS(BD!$F:$F,BD!$B:$B,$A$18,BD!$C:$C,$B21,BD!$D:$D,H$17),"-")</f>
        <v>-</v>
      </c>
      <c r="I21" s="1" t="str">
        <f>IFERROR(AVERAGEIFS(BD!$F:$F,BD!$B:$B,$A$18,BD!$C:$C,$B21,BD!$D:$D,I$17),"-")</f>
        <v>-</v>
      </c>
      <c r="J21" s="1" t="str">
        <f>IFERROR(AVERAGEIFS(BD!$F:$F,BD!$B:$B,$A$18,BD!$C:$C,$B21,BD!$D:$D,J$17),"-")</f>
        <v>-</v>
      </c>
      <c r="K21" s="1" t="str">
        <f>IFERROR(AVERAGEIFS(BD!$F:$F,BD!$B:$B,$A$18,BD!$C:$C,$B21,BD!$D:$D,K$17),"-")</f>
        <v>-</v>
      </c>
      <c r="L21" s="1" t="str">
        <f>IFERROR(AVERAGEIFS(BD!$F:$F,BD!$B:$B,$A$18,BD!$C:$C,$B21,BD!$D:$D,L$17),"-")</f>
        <v>-</v>
      </c>
      <c r="M21" s="7">
        <f>AVERAGEIFS(BD!$F:$F,BD!$B:$B,$A$18,BD!$C:$C,$B21)</f>
        <v>145.14666666666668</v>
      </c>
      <c r="N21" s="21"/>
    </row>
    <row r="22" spans="1:20" x14ac:dyDescent="0.25">
      <c r="A22" s="17"/>
      <c r="B22" s="4" t="s">
        <v>26</v>
      </c>
      <c r="C22" s="1" t="str">
        <f>IFERROR(AVERAGEIFS(BD!$F:$F,BD!$B:$B,$A$18,BD!$C:$C,$B22,BD!$D:$D,C$17),"-")</f>
        <v>-</v>
      </c>
      <c r="D22" s="1" t="str">
        <f>IFERROR(AVERAGEIFS(BD!$F:$F,BD!$B:$B,$A$18,BD!$C:$C,$B22,BD!$D:$D,D$17),"-")</f>
        <v>-</v>
      </c>
      <c r="E22" s="1">
        <f>IFERROR(AVERAGEIFS(BD!$F:$F,BD!$B:$B,$A$18,BD!$C:$C,$B22,BD!$D:$D,E$17),"-")</f>
        <v>123.38636363636364</v>
      </c>
      <c r="F22" s="1" t="str">
        <f>IFERROR(AVERAGEIFS(BD!$F:$F,BD!$B:$B,$A$18,BD!$C:$C,$B22,BD!$D:$D,F$17),"-")</f>
        <v>-</v>
      </c>
      <c r="G22" s="1" t="str">
        <f>IFERROR(AVERAGEIFS(BD!$F:$F,BD!$B:$B,$A$18,BD!$C:$C,$B22,BD!$D:$D,G$17),"-")</f>
        <v>-</v>
      </c>
      <c r="H22" s="1" t="str">
        <f>IFERROR(AVERAGEIFS(BD!$F:$F,BD!$B:$B,$A$18,BD!$C:$C,$B22,BD!$D:$D,H$17),"-")</f>
        <v>-</v>
      </c>
      <c r="I22" s="1" t="str">
        <f>IFERROR(AVERAGEIFS(BD!$F:$F,BD!$B:$B,$A$18,BD!$C:$C,$B22,BD!$D:$D,I$17),"-")</f>
        <v>-</v>
      </c>
      <c r="J22" s="1" t="str">
        <f>IFERROR(AVERAGEIFS(BD!$F:$F,BD!$B:$B,$A$18,BD!$C:$C,$B22,BD!$D:$D,J$17),"-")</f>
        <v>-</v>
      </c>
      <c r="K22" s="1" t="str">
        <f>IFERROR(AVERAGEIFS(BD!$F:$F,BD!$B:$B,$A$18,BD!$C:$C,$B22,BD!$D:$D,K$17),"-")</f>
        <v>-</v>
      </c>
      <c r="L22" s="1" t="str">
        <f>IFERROR(AVERAGEIFS(BD!$F:$F,BD!$B:$B,$A$18,BD!$C:$C,$B22,BD!$D:$D,L$17),"-")</f>
        <v>-</v>
      </c>
      <c r="M22" s="7">
        <f>AVERAGEIFS(BD!$F:$F,BD!$B:$B,$A$18,BD!$C:$C,$B22)</f>
        <v>123.38636363636364</v>
      </c>
      <c r="N22" s="21"/>
    </row>
    <row r="23" spans="1:20" x14ac:dyDescent="0.25">
      <c r="A23" s="17"/>
      <c r="B23" s="4" t="s">
        <v>27</v>
      </c>
      <c r="C23" s="1" t="str">
        <f>IFERROR(AVERAGEIFS(BD!$F:$F,BD!$B:$B,$A$18,BD!$C:$C,$B23,BD!$D:$D,C$17),"-")</f>
        <v>-</v>
      </c>
      <c r="D23" s="1" t="str">
        <f>IFERROR(AVERAGEIFS(BD!$F:$F,BD!$B:$B,$A$18,BD!$C:$C,$B23,BD!$D:$D,D$17),"-")</f>
        <v>-</v>
      </c>
      <c r="E23" s="1">
        <f>IFERROR(AVERAGEIFS(BD!$F:$F,BD!$B:$B,$A$18,BD!$C:$C,$B23,BD!$D:$D,E$17),"-")</f>
        <v>150.54545454545453</v>
      </c>
      <c r="F23" s="1" t="str">
        <f>IFERROR(AVERAGEIFS(BD!$F:$F,BD!$B:$B,$A$18,BD!$C:$C,$B23,BD!$D:$D,F$17),"-")</f>
        <v>-</v>
      </c>
      <c r="G23" s="1" t="str">
        <f>IFERROR(AVERAGEIFS(BD!$F:$F,BD!$B:$B,$A$18,BD!$C:$C,$B23,BD!$D:$D,G$17),"-")</f>
        <v>-</v>
      </c>
      <c r="H23" s="1" t="str">
        <f>IFERROR(AVERAGEIFS(BD!$F:$F,BD!$B:$B,$A$18,BD!$C:$C,$B23,BD!$D:$D,H$17),"-")</f>
        <v>-</v>
      </c>
      <c r="I23" s="1" t="str">
        <f>IFERROR(AVERAGEIFS(BD!$F:$F,BD!$B:$B,$A$18,BD!$C:$C,$B23,BD!$D:$D,I$17),"-")</f>
        <v>-</v>
      </c>
      <c r="J23" s="1" t="str">
        <f>IFERROR(AVERAGEIFS(BD!$F:$F,BD!$B:$B,$A$18,BD!$C:$C,$B23,BD!$D:$D,J$17),"-")</f>
        <v>-</v>
      </c>
      <c r="K23" s="1" t="str">
        <f>IFERROR(AVERAGEIFS(BD!$F:$F,BD!$B:$B,$A$18,BD!$C:$C,$B23,BD!$D:$D,K$17),"-")</f>
        <v>-</v>
      </c>
      <c r="L23" s="1" t="str">
        <f>IFERROR(AVERAGEIFS(BD!$F:$F,BD!$B:$B,$A$18,BD!$C:$C,$B23,BD!$D:$D,L$17),"-")</f>
        <v>-</v>
      </c>
      <c r="M23" s="7">
        <f>AVERAGEIFS(BD!$F:$F,BD!$B:$B,$A$18,BD!$C:$C,$B23)</f>
        <v>150.54545454545453</v>
      </c>
      <c r="N23" s="21"/>
    </row>
    <row r="24" spans="1:20" x14ac:dyDescent="0.25">
      <c r="A24" s="17"/>
      <c r="B24" s="4" t="s">
        <v>28</v>
      </c>
      <c r="C24" s="1" t="str">
        <f>IFERROR(AVERAGEIFS(BD!$F:$F,BD!$B:$B,$A$18,BD!$C:$C,$B24,BD!$D:$D,C$17),"-")</f>
        <v>-</v>
      </c>
      <c r="D24" s="1" t="str">
        <f>IFERROR(AVERAGEIFS(BD!$F:$F,BD!$B:$B,$A$18,BD!$C:$C,$B24,BD!$D:$D,D$17),"-")</f>
        <v>-</v>
      </c>
      <c r="E24" s="1" t="str">
        <f>IFERROR(AVERAGEIFS(BD!$F:$F,BD!$B:$B,$A$18,BD!$C:$C,$B24,BD!$D:$D,E$17),"-")</f>
        <v>-</v>
      </c>
      <c r="F24" s="1">
        <f>IFERROR(AVERAGEIFS(BD!$F:$F,BD!$B:$B,$A$18,BD!$C:$C,$B24,BD!$D:$D,F$17),"-")</f>
        <v>114.90140845070422</v>
      </c>
      <c r="G24" s="1" t="str">
        <f>IFERROR(AVERAGEIFS(BD!$F:$F,BD!$B:$B,$A$18,BD!$C:$C,$B24,BD!$D:$D,G$17),"-")</f>
        <v>-</v>
      </c>
      <c r="H24" s="1" t="str">
        <f>IFERROR(AVERAGEIFS(BD!$F:$F,BD!$B:$B,$A$18,BD!$C:$C,$B24,BD!$D:$D,H$17),"-")</f>
        <v>-</v>
      </c>
      <c r="I24" s="1" t="str">
        <f>IFERROR(AVERAGEIFS(BD!$F:$F,BD!$B:$B,$A$18,BD!$C:$C,$B24,BD!$D:$D,I$17),"-")</f>
        <v>-</v>
      </c>
      <c r="J24" s="1" t="str">
        <f>IFERROR(AVERAGEIFS(BD!$F:$F,BD!$B:$B,$A$18,BD!$C:$C,$B24,BD!$D:$D,J$17),"-")</f>
        <v>-</v>
      </c>
      <c r="K24" s="1" t="str">
        <f>IFERROR(AVERAGEIFS(BD!$F:$F,BD!$B:$B,$A$18,BD!$C:$C,$B24,BD!$D:$D,K$17),"-")</f>
        <v>-</v>
      </c>
      <c r="L24" s="1" t="str">
        <f>IFERROR(AVERAGEIFS(BD!$F:$F,BD!$B:$B,$A$18,BD!$C:$C,$B24,BD!$D:$D,L$17),"-")</f>
        <v>-</v>
      </c>
      <c r="M24" s="7">
        <f>AVERAGEIFS(BD!$F:$F,BD!$B:$B,$A$18,BD!$C:$C,$B24)</f>
        <v>114.90140845070422</v>
      </c>
      <c r="N24" s="21"/>
    </row>
    <row r="25" spans="1:20" x14ac:dyDescent="0.25">
      <c r="A25" s="17"/>
      <c r="B25" s="4" t="s">
        <v>29</v>
      </c>
      <c r="C25" s="1" t="str">
        <f>IFERROR(AVERAGEIFS(BD!$F:$F,BD!$B:$B,$A$18,BD!$C:$C,$B25,BD!$D:$D,C$17),"-")</f>
        <v>-</v>
      </c>
      <c r="D25" s="1" t="str">
        <f>IFERROR(AVERAGEIFS(BD!$F:$F,BD!$B:$B,$A$18,BD!$C:$C,$B25,BD!$D:$D,D$17),"-")</f>
        <v>-</v>
      </c>
      <c r="E25" s="1" t="str">
        <f>IFERROR(AVERAGEIFS(BD!$F:$F,BD!$B:$B,$A$18,BD!$C:$C,$B25,BD!$D:$D,E$17),"-")</f>
        <v>-</v>
      </c>
      <c r="F25" s="1">
        <f>IFERROR(AVERAGEIFS(BD!$F:$F,BD!$B:$B,$A$18,BD!$C:$C,$B25,BD!$D:$D,F$17),"-")</f>
        <v>104.25454545454545</v>
      </c>
      <c r="G25" s="1" t="str">
        <f>IFERROR(AVERAGEIFS(BD!$F:$F,BD!$B:$B,$A$18,BD!$C:$C,$B25,BD!$D:$D,G$17),"-")</f>
        <v>-</v>
      </c>
      <c r="H25" s="1" t="str">
        <f>IFERROR(AVERAGEIFS(BD!$F:$F,BD!$B:$B,$A$18,BD!$C:$C,$B25,BD!$D:$D,H$17),"-")</f>
        <v>-</v>
      </c>
      <c r="I25" s="1" t="str">
        <f>IFERROR(AVERAGEIFS(BD!$F:$F,BD!$B:$B,$A$18,BD!$C:$C,$B25,BD!$D:$D,I$17),"-")</f>
        <v>-</v>
      </c>
      <c r="J25" s="1" t="str">
        <f>IFERROR(AVERAGEIFS(BD!$F:$F,BD!$B:$B,$A$18,BD!$C:$C,$B25,BD!$D:$D,J$17),"-")</f>
        <v>-</v>
      </c>
      <c r="K25" s="1" t="str">
        <f>IFERROR(AVERAGEIFS(BD!$F:$F,BD!$B:$B,$A$18,BD!$C:$C,$B25,BD!$D:$D,K$17),"-")</f>
        <v>-</v>
      </c>
      <c r="L25" s="1" t="str">
        <f>IFERROR(AVERAGEIFS(BD!$F:$F,BD!$B:$B,$A$18,BD!$C:$C,$B25,BD!$D:$D,L$17),"-")</f>
        <v>-</v>
      </c>
      <c r="M25" s="7">
        <f>AVERAGEIFS(BD!$F:$F,BD!$B:$B,$A$18,BD!$C:$C,$B25)</f>
        <v>104.25454545454545</v>
      </c>
      <c r="N25" s="21"/>
      <c r="T25" s="11"/>
    </row>
    <row r="26" spans="1:20" x14ac:dyDescent="0.25">
      <c r="A26" s="17"/>
      <c r="B26" s="4" t="s">
        <v>30</v>
      </c>
      <c r="C26" s="1" t="str">
        <f>IFERROR(AVERAGEIFS(BD!$F:$F,BD!$B:$B,$A$18,BD!$C:$C,$B26,BD!$D:$D,C$17),"-")</f>
        <v>-</v>
      </c>
      <c r="D26" s="1" t="str">
        <f>IFERROR(AVERAGEIFS(BD!$F:$F,BD!$B:$B,$A$18,BD!$C:$C,$B26,BD!$D:$D,D$17),"-")</f>
        <v>-</v>
      </c>
      <c r="E26" s="1">
        <f>IFERROR(AVERAGEIFS(BD!$F:$F,BD!$B:$B,$A$18,BD!$C:$C,$B26,BD!$D:$D,E$17),"-")</f>
        <v>73.349999999999994</v>
      </c>
      <c r="F26" s="1" t="str">
        <f>IFERROR(AVERAGEIFS(BD!$F:$F,BD!$B:$B,$A$18,BD!$C:$C,$B26,BD!$D:$D,F$17),"-")</f>
        <v>-</v>
      </c>
      <c r="G26" s="1" t="str">
        <f>IFERROR(AVERAGEIFS(BD!$F:$F,BD!$B:$B,$A$18,BD!$C:$C,$B26,BD!$D:$D,G$17),"-")</f>
        <v>-</v>
      </c>
      <c r="H26" s="1" t="str">
        <f>IFERROR(AVERAGEIFS(BD!$F:$F,BD!$B:$B,$A$18,BD!$C:$C,$B26,BD!$D:$D,H$17),"-")</f>
        <v>-</v>
      </c>
      <c r="I26" s="1" t="str">
        <f>IFERROR(AVERAGEIFS(BD!$F:$F,BD!$B:$B,$A$18,BD!$C:$C,$B26,BD!$D:$D,I$17),"-")</f>
        <v>-</v>
      </c>
      <c r="J26" s="1" t="str">
        <f>IFERROR(AVERAGEIFS(BD!$F:$F,BD!$B:$B,$A$18,BD!$C:$C,$B26,BD!$D:$D,J$17),"-")</f>
        <v>-</v>
      </c>
      <c r="K26" s="1" t="str">
        <f>IFERROR(AVERAGEIFS(BD!$F:$F,BD!$B:$B,$A$18,BD!$C:$C,$B26,BD!$D:$D,K$17),"-")</f>
        <v>-</v>
      </c>
      <c r="L26" s="1" t="str">
        <f>IFERROR(AVERAGEIFS(BD!$F:$F,BD!$B:$B,$A$18,BD!$C:$C,$B26,BD!$D:$D,L$17),"-")</f>
        <v>-</v>
      </c>
      <c r="M26" s="7">
        <f>AVERAGEIFS(BD!$F:$F,BD!$B:$B,$A$18,BD!$C:$C,$B26)</f>
        <v>73.349999999999994</v>
      </c>
      <c r="N26" s="21"/>
      <c r="T26" s="11"/>
    </row>
    <row r="27" spans="1:20" x14ac:dyDescent="0.25">
      <c r="A27" s="12" t="s">
        <v>54</v>
      </c>
      <c r="B27" s="13"/>
      <c r="C27" s="7" t="str">
        <f>IFERROR(AVERAGEIFS(BD!$F:$F,BD!$D:$D,C$17,BD!$B:$B,$A$18),"-")</f>
        <v>-</v>
      </c>
      <c r="D27" s="7" t="str">
        <f>IFERROR(AVERAGEIFS(BD!$F:$F,BD!$D:$D,D$17,BD!$B:$B,$A$18),"-")</f>
        <v>-</v>
      </c>
      <c r="E27" s="7">
        <f>IFERROR(AVERAGEIFS(BD!$F:$F,BD!$D:$D,E$17,BD!$B:$B,$A$18),"-")</f>
        <v>122.56973293768546</v>
      </c>
      <c r="F27" s="7">
        <f>IFERROR(AVERAGEIFS(BD!$F:$F,BD!$D:$D,F$17,BD!$B:$B,$A$18),"-")</f>
        <v>119.58888888888889</v>
      </c>
      <c r="G27" s="7" t="str">
        <f>IFERROR(AVERAGEIFS(BD!$F:$F,BD!$D:$D,G$17,BD!$B:$B,$A$18),"-")</f>
        <v>-</v>
      </c>
      <c r="H27" s="7" t="str">
        <f>IFERROR(AVERAGEIFS(BD!$F:$F,BD!$D:$D,H$17,BD!$B:$B,$A$18),"-")</f>
        <v>-</v>
      </c>
      <c r="I27" s="7" t="str">
        <f>IFERROR(AVERAGEIFS(BD!$F:$F,BD!$D:$D,I$17,BD!$B:$B,$A$18),"-")</f>
        <v>-</v>
      </c>
      <c r="J27" s="7" t="str">
        <f>IFERROR(AVERAGEIFS(BD!$F:$F,BD!$D:$D,J$17,BD!$B:$B,$A$18),"-")</f>
        <v>-</v>
      </c>
      <c r="K27" s="7" t="str">
        <f>IFERROR(AVERAGEIFS(BD!$F:$F,BD!$D:$D,K$17,BD!$B:$B,$A$18),"-")</f>
        <v>-</v>
      </c>
      <c r="L27" s="7" t="str">
        <f>IFERROR(AVERAGEIFS(BD!$F:$F,BD!$D:$D,L$17,BD!$B:$B,$A$18),"-")</f>
        <v>-</v>
      </c>
      <c r="M27" s="7" t="s">
        <v>41</v>
      </c>
      <c r="N27" s="21"/>
      <c r="T27" s="11"/>
    </row>
    <row r="29" spans="1:20" x14ac:dyDescent="0.25">
      <c r="A29" s="5" t="s">
        <v>42</v>
      </c>
      <c r="B29" s="5" t="s">
        <v>21</v>
      </c>
      <c r="C29" s="5" t="s">
        <v>0</v>
      </c>
      <c r="D29" s="5" t="s">
        <v>1</v>
      </c>
      <c r="E29" s="5" t="s">
        <v>2</v>
      </c>
      <c r="F29" s="5" t="s">
        <v>3</v>
      </c>
      <c r="G29" s="5" t="s">
        <v>4</v>
      </c>
      <c r="H29" s="5" t="s">
        <v>5</v>
      </c>
      <c r="I29" s="5" t="s">
        <v>6</v>
      </c>
      <c r="J29" s="5" t="s">
        <v>7</v>
      </c>
      <c r="K29" s="5" t="s">
        <v>8</v>
      </c>
      <c r="L29" s="5" t="s">
        <v>9</v>
      </c>
      <c r="M29" s="5" t="s">
        <v>39</v>
      </c>
      <c r="N29" s="6" t="s">
        <v>31</v>
      </c>
    </row>
    <row r="30" spans="1:20" x14ac:dyDescent="0.25">
      <c r="A30" s="17">
        <v>3</v>
      </c>
      <c r="B30" s="4" t="s">
        <v>32</v>
      </c>
      <c r="C30" s="1" t="str">
        <f>IFERROR(AVERAGEIFS(BD!$F:$F,BD!$B:$B,$A$30,BD!$C:$C,$B30,BD!$D:$D,C$29),"-")</f>
        <v>-</v>
      </c>
      <c r="D30" s="1" t="str">
        <f>IFERROR(AVERAGEIFS(BD!$F:$F,BD!$B:$B,$A$30,BD!$C:$C,$B30,BD!$D:$D,D$29),"-")</f>
        <v>-</v>
      </c>
      <c r="E30" s="1" t="str">
        <f>IFERROR(AVERAGEIFS(BD!$F:$F,BD!$B:$B,$A$30,BD!$C:$C,$B30,BD!$D:$D,E$29),"-")</f>
        <v>-</v>
      </c>
      <c r="F30" s="1" t="str">
        <f>IFERROR(AVERAGEIFS(BD!$F:$F,BD!$B:$B,$A$30,BD!$C:$C,$B30,BD!$D:$D,F$29),"-")</f>
        <v>-</v>
      </c>
      <c r="G30" s="1">
        <f>IFERROR(AVERAGEIFS(BD!$F:$F,BD!$B:$B,$A$30,BD!$C:$C,$B30,BD!$D:$D,G$29),"-")</f>
        <v>55.7</v>
      </c>
      <c r="H30" s="1">
        <f>IFERROR(AVERAGEIFS(BD!$F:$F,BD!$B:$B,$A$30,BD!$C:$C,$B30,BD!$D:$D,H$29),"-")</f>
        <v>50.3</v>
      </c>
      <c r="I30" s="1" t="str">
        <f>IFERROR(AVERAGEIFS(BD!$F:$F,BD!$B:$B,$A$30,BD!$C:$C,$B30,BD!$D:$D,I$29),"-")</f>
        <v>-</v>
      </c>
      <c r="J30" s="1">
        <f>IFERROR(AVERAGEIFS(BD!$F:$F,BD!$B:$B,$A$30,BD!$C:$C,$B30,BD!$D:$D,J$29),"-")</f>
        <v>57.9</v>
      </c>
      <c r="K30" s="1">
        <f>IFERROR(AVERAGEIFS(BD!$F:$F,BD!$B:$B,$A$30,BD!$C:$C,$B30,BD!$D:$D,K$29),"-")</f>
        <v>63.444444444444443</v>
      </c>
      <c r="L30" s="1" t="str">
        <f>IFERROR(AVERAGEIFS(BD!$F:$F,BD!$B:$B,$A$30,BD!$C:$C,$B30,BD!$D:$D,L$29),"-")</f>
        <v>-</v>
      </c>
      <c r="M30" s="7">
        <f>AVERAGEIFS(BD!$F:$F,BD!$B:$B,$A$30,BD!$C:$C,$B30)</f>
        <v>56.666666666666664</v>
      </c>
      <c r="N30" s="21">
        <f>AVERAGEIFS(BD!$F:$F,BD!$B:$B,A30)</f>
        <v>99.162083936324166</v>
      </c>
    </row>
    <row r="31" spans="1:20" x14ac:dyDescent="0.25">
      <c r="A31" s="17"/>
      <c r="B31" s="4" t="s">
        <v>33</v>
      </c>
      <c r="C31" s="1" t="str">
        <f>IFERROR(AVERAGEIFS(BD!$F:$F,BD!$B:$B,$A$30,BD!$C:$C,$B31,BD!$D:$D,C$29),"-")</f>
        <v>-</v>
      </c>
      <c r="D31" s="1" t="str">
        <f>IFERROR(AVERAGEIFS(BD!$F:$F,BD!$B:$B,$A$30,BD!$C:$C,$B31,BD!$D:$D,D$29),"-")</f>
        <v>-</v>
      </c>
      <c r="E31" s="1" t="str">
        <f>IFERROR(AVERAGEIFS(BD!$F:$F,BD!$B:$B,$A$30,BD!$C:$C,$B31,BD!$D:$D,E$29),"-")</f>
        <v>-</v>
      </c>
      <c r="F31" s="1" t="str">
        <f>IFERROR(AVERAGEIFS(BD!$F:$F,BD!$B:$B,$A$30,BD!$C:$C,$B31,BD!$D:$D,F$29),"-")</f>
        <v>-</v>
      </c>
      <c r="G31" s="1">
        <f>IFERROR(AVERAGEIFS(BD!$F:$F,BD!$B:$B,$A$30,BD!$C:$C,$B31,BD!$D:$D,G$29),"-")</f>
        <v>89.950819672131146</v>
      </c>
      <c r="H31" s="1">
        <f>IFERROR(AVERAGEIFS(BD!$F:$F,BD!$B:$B,$A$30,BD!$C:$C,$B31,BD!$D:$D,H$29),"-")</f>
        <v>91.134615384615387</v>
      </c>
      <c r="I31" s="1" t="str">
        <f>IFERROR(AVERAGEIFS(BD!$F:$F,BD!$B:$B,$A$30,BD!$C:$C,$B31,BD!$D:$D,I$29),"-")</f>
        <v>-</v>
      </c>
      <c r="J31" s="1">
        <f>IFERROR(AVERAGEIFS(BD!$F:$F,BD!$B:$B,$A$30,BD!$C:$C,$B31,BD!$D:$D,J$29),"-")</f>
        <v>94.868852459016395</v>
      </c>
      <c r="K31" s="1">
        <f>IFERROR(AVERAGEIFS(BD!$F:$F,BD!$B:$B,$A$30,BD!$C:$C,$B31,BD!$D:$D,K$29),"-")</f>
        <v>111.22950819672131</v>
      </c>
      <c r="L31" s="1" t="str">
        <f>IFERROR(AVERAGEIFS(BD!$F:$F,BD!$B:$B,$A$30,BD!$C:$C,$B31,BD!$D:$D,L$29),"-")</f>
        <v>-</v>
      </c>
      <c r="M31" s="7">
        <f>AVERAGEIFS(BD!$F:$F,BD!$B:$B,$A$30,BD!$C:$C,$B31)</f>
        <v>97.012765957446803</v>
      </c>
      <c r="N31" s="21"/>
    </row>
    <row r="32" spans="1:20" x14ac:dyDescent="0.25">
      <c r="A32" s="17"/>
      <c r="B32" s="4" t="s">
        <v>34</v>
      </c>
      <c r="C32" s="1" t="str">
        <f>IFERROR(AVERAGEIFS(BD!$F:$F,BD!$B:$B,$A$30,BD!$C:$C,$B32,BD!$D:$D,C$29),"-")</f>
        <v>-</v>
      </c>
      <c r="D32" s="1" t="str">
        <f>IFERROR(AVERAGEIFS(BD!$F:$F,BD!$B:$B,$A$30,BD!$C:$C,$B32,BD!$D:$D,D$29),"-")</f>
        <v>-</v>
      </c>
      <c r="E32" s="1" t="str">
        <f>IFERROR(AVERAGEIFS(BD!$F:$F,BD!$B:$B,$A$30,BD!$C:$C,$B32,BD!$D:$D,E$29),"-")</f>
        <v>-</v>
      </c>
      <c r="F32" s="1" t="str">
        <f>IFERROR(AVERAGEIFS(BD!$F:$F,BD!$B:$B,$A$30,BD!$C:$C,$B32,BD!$D:$D,F$29),"-")</f>
        <v>-</v>
      </c>
      <c r="G32" s="1">
        <f>IFERROR(AVERAGEIFS(BD!$F:$F,BD!$B:$B,$A$30,BD!$C:$C,$B32,BD!$D:$D,G$29),"-")</f>
        <v>99.769230769230774</v>
      </c>
      <c r="H32" s="1">
        <f>IFERROR(AVERAGEIFS(BD!$F:$F,BD!$B:$B,$A$30,BD!$C:$C,$B32,BD!$D:$D,H$29),"-")</f>
        <v>93.17307692307692</v>
      </c>
      <c r="I32" s="1">
        <f>IFERROR(AVERAGEIFS(BD!$F:$F,BD!$B:$B,$A$30,BD!$C:$C,$B32,BD!$D:$D,I$29),"-")</f>
        <v>96.466666666666669</v>
      </c>
      <c r="J32" s="1" t="str">
        <f>IFERROR(AVERAGEIFS(BD!$F:$F,BD!$B:$B,$A$30,BD!$C:$C,$B32,BD!$D:$D,J$29),"-")</f>
        <v>-</v>
      </c>
      <c r="K32" s="1" t="str">
        <f>IFERROR(AVERAGEIFS(BD!$F:$F,BD!$B:$B,$A$30,BD!$C:$C,$B32,BD!$D:$D,K$29),"-")</f>
        <v>-</v>
      </c>
      <c r="L32" s="1">
        <f>IFERROR(AVERAGEIFS(BD!$F:$F,BD!$B:$B,$A$30,BD!$C:$C,$B32,BD!$D:$D,L$29),"-")</f>
        <v>148.5</v>
      </c>
      <c r="M32" s="7">
        <f>AVERAGEIFS(BD!$F:$F,BD!$B:$B,$A$30,BD!$C:$C,$B32)</f>
        <v>106.7</v>
      </c>
      <c r="N32" s="21"/>
    </row>
    <row r="33" spans="1:14" x14ac:dyDescent="0.25">
      <c r="A33" s="17"/>
      <c r="B33" s="4" t="s">
        <v>35</v>
      </c>
      <c r="C33" s="1" t="str">
        <f>IFERROR(AVERAGEIFS(BD!$F:$F,BD!$B:$B,$A$30,BD!$C:$C,$B33,BD!$D:$D,C$29),"-")</f>
        <v>-</v>
      </c>
      <c r="D33" s="1" t="str">
        <f>IFERROR(AVERAGEIFS(BD!$F:$F,BD!$B:$B,$A$30,BD!$C:$C,$B33,BD!$D:$D,D$29),"-")</f>
        <v>-</v>
      </c>
      <c r="E33" s="1" t="str">
        <f>IFERROR(AVERAGEIFS(BD!$F:$F,BD!$B:$B,$A$30,BD!$C:$C,$B33,BD!$D:$D,E$29),"-")</f>
        <v>-</v>
      </c>
      <c r="F33" s="1" t="str">
        <f>IFERROR(AVERAGEIFS(BD!$F:$F,BD!$B:$B,$A$30,BD!$C:$C,$B33,BD!$D:$D,F$29),"-")</f>
        <v>-</v>
      </c>
      <c r="G33" s="1">
        <f>IFERROR(AVERAGEIFS(BD!$F:$F,BD!$B:$B,$A$30,BD!$C:$C,$B33,BD!$D:$D,G$29),"-")</f>
        <v>66</v>
      </c>
      <c r="H33" s="1">
        <f>IFERROR(AVERAGEIFS(BD!$F:$F,BD!$B:$B,$A$30,BD!$C:$C,$B33,BD!$D:$D,H$29),"-")</f>
        <v>56.153846153846153</v>
      </c>
      <c r="I33" s="1" t="str">
        <f>IFERROR(AVERAGEIFS(BD!$F:$F,BD!$B:$B,$A$30,BD!$C:$C,$B33,BD!$D:$D,I$29),"-")</f>
        <v>-</v>
      </c>
      <c r="J33" s="1">
        <f>IFERROR(AVERAGEIFS(BD!$F:$F,BD!$B:$B,$A$30,BD!$C:$C,$B33,BD!$D:$D,J$29),"-")</f>
        <v>45.625</v>
      </c>
      <c r="K33" s="1">
        <f>IFERROR(AVERAGEIFS(BD!$F:$F,BD!$B:$B,$A$30,BD!$C:$C,$B33,BD!$D:$D,K$29),"-")</f>
        <v>94.4</v>
      </c>
      <c r="L33" s="1" t="str">
        <f>IFERROR(AVERAGEIFS(BD!$F:$F,BD!$B:$B,$A$30,BD!$C:$C,$B33,BD!$D:$D,L$29),"-")</f>
        <v>-</v>
      </c>
      <c r="M33" s="7">
        <f>AVERAGEIFS(BD!$F:$F,BD!$B:$B,$A$30,BD!$C:$C,$B33)</f>
        <v>61.972972972972975</v>
      </c>
      <c r="N33" s="21"/>
    </row>
    <row r="34" spans="1:14" x14ac:dyDescent="0.25">
      <c r="A34" s="17"/>
      <c r="B34" s="4" t="s">
        <v>36</v>
      </c>
      <c r="C34" s="1" t="str">
        <f>IFERROR(AVERAGEIFS(BD!$F:$F,BD!$B:$B,$A$30,BD!$C:$C,$B34,BD!$D:$D,C$29),"-")</f>
        <v>-</v>
      </c>
      <c r="D34" s="1" t="str">
        <f>IFERROR(AVERAGEIFS(BD!$F:$F,BD!$B:$B,$A$30,BD!$C:$C,$B34,BD!$D:$D,D$29),"-")</f>
        <v>-</v>
      </c>
      <c r="E34" s="1" t="str">
        <f>IFERROR(AVERAGEIFS(BD!$F:$F,BD!$B:$B,$A$30,BD!$C:$C,$B34,BD!$D:$D,E$29),"-")</f>
        <v>-</v>
      </c>
      <c r="F34" s="1" t="str">
        <f>IFERROR(AVERAGEIFS(BD!$F:$F,BD!$B:$B,$A$30,BD!$C:$C,$B34,BD!$D:$D,F$29),"-")</f>
        <v>-</v>
      </c>
      <c r="G34" s="1" t="str">
        <f>IFERROR(AVERAGEIFS(BD!$F:$F,BD!$B:$B,$A$30,BD!$C:$C,$B34,BD!$D:$D,G$29),"-")</f>
        <v>-</v>
      </c>
      <c r="H34" s="1">
        <f>IFERROR(AVERAGEIFS(BD!$F:$F,BD!$B:$B,$A$30,BD!$C:$C,$B34,BD!$D:$D,H$29),"-")</f>
        <v>120.05</v>
      </c>
      <c r="I34" s="1">
        <f>IFERROR(AVERAGEIFS(BD!$F:$F,BD!$B:$B,$A$30,BD!$C:$C,$B34,BD!$D:$D,I$29),"-")</f>
        <v>142.29411764705881</v>
      </c>
      <c r="J34" s="1" t="str">
        <f>IFERROR(AVERAGEIFS(BD!$F:$F,BD!$B:$B,$A$30,BD!$C:$C,$B34,BD!$D:$D,J$29),"-")</f>
        <v>-</v>
      </c>
      <c r="K34" s="1" t="str">
        <f>IFERROR(AVERAGEIFS(BD!$F:$F,BD!$B:$B,$A$30,BD!$C:$C,$B34,BD!$D:$D,K$29),"-")</f>
        <v>-</v>
      </c>
      <c r="L34" s="1">
        <f>IFERROR(AVERAGEIFS(BD!$F:$F,BD!$B:$B,$A$30,BD!$C:$C,$B34,BD!$D:$D,L$29),"-")</f>
        <v>156.93548387096774</v>
      </c>
      <c r="M34" s="7">
        <f>AVERAGEIFS(BD!$F:$F,BD!$B:$B,$A$30,BD!$C:$C,$B34)</f>
        <v>133.15172413793104</v>
      </c>
      <c r="N34" s="21"/>
    </row>
    <row r="35" spans="1:14" x14ac:dyDescent="0.25">
      <c r="A35" s="17"/>
      <c r="B35" s="4" t="s">
        <v>37</v>
      </c>
      <c r="C35" s="1" t="str">
        <f>IFERROR(AVERAGEIFS(BD!$F:$F,BD!$B:$B,$A$30,BD!$C:$C,$B35,BD!$D:$D,C$29),"-")</f>
        <v>-</v>
      </c>
      <c r="D35" s="1" t="str">
        <f>IFERROR(AVERAGEIFS(BD!$F:$F,BD!$B:$B,$A$30,BD!$C:$C,$B35,BD!$D:$D,D$29),"-")</f>
        <v>-</v>
      </c>
      <c r="E35" s="1" t="str">
        <f>IFERROR(AVERAGEIFS(BD!$F:$F,BD!$B:$B,$A$30,BD!$C:$C,$B35,BD!$D:$D,E$29),"-")</f>
        <v>-</v>
      </c>
      <c r="F35" s="1" t="str">
        <f>IFERROR(AVERAGEIFS(BD!$F:$F,BD!$B:$B,$A$30,BD!$C:$C,$B35,BD!$D:$D,F$29),"-")</f>
        <v>-</v>
      </c>
      <c r="G35" s="1" t="str">
        <f>IFERROR(AVERAGEIFS(BD!$F:$F,BD!$B:$B,$A$30,BD!$C:$C,$B35,BD!$D:$D,G$29),"-")</f>
        <v>-</v>
      </c>
      <c r="H35" s="1">
        <f>IFERROR(AVERAGEIFS(BD!$F:$F,BD!$B:$B,$A$30,BD!$C:$C,$B35,BD!$D:$D,H$29),"-")</f>
        <v>79.95</v>
      </c>
      <c r="I35" s="1">
        <f>IFERROR(AVERAGEIFS(BD!$F:$F,BD!$B:$B,$A$30,BD!$C:$C,$B35,BD!$D:$D,I$29),"-")</f>
        <v>82.45</v>
      </c>
      <c r="J35" s="1">
        <f>IFERROR(AVERAGEIFS(BD!$F:$F,BD!$B:$B,$A$30,BD!$C:$C,$B35,BD!$D:$D,J$29),"-")</f>
        <v>5.5</v>
      </c>
      <c r="K35" s="1">
        <f>IFERROR(AVERAGEIFS(BD!$F:$F,BD!$B:$B,$A$30,BD!$C:$C,$B35,BD!$D:$D,K$29),"-")</f>
        <v>3</v>
      </c>
      <c r="L35" s="1">
        <f>IFERROR(AVERAGEIFS(BD!$F:$F,BD!$B:$B,$A$30,BD!$C:$C,$B35,BD!$D:$D,L$29),"-")</f>
        <v>101.41176470588235</v>
      </c>
      <c r="M35" s="7">
        <f>AVERAGEIFS(BD!$F:$F,BD!$B:$B,$A$30,BD!$C:$C,$B35)</f>
        <v>82.3125</v>
      </c>
      <c r="N35" s="21"/>
    </row>
    <row r="36" spans="1:14" x14ac:dyDescent="0.25">
      <c r="A36" s="17"/>
      <c r="B36" s="4" t="s">
        <v>38</v>
      </c>
      <c r="C36" s="1" t="str">
        <f>IFERROR(AVERAGEIFS(BD!$F:$F,BD!$B:$B,$A$30,BD!$C:$C,$B36,BD!$D:$D,C$29),"-")</f>
        <v>-</v>
      </c>
      <c r="D36" s="1" t="str">
        <f>IFERROR(AVERAGEIFS(BD!$F:$F,BD!$B:$B,$A$30,BD!$C:$C,$B36,BD!$D:$D,D$29),"-")</f>
        <v>-</v>
      </c>
      <c r="E36" s="1" t="str">
        <f>IFERROR(AVERAGEIFS(BD!$F:$F,BD!$B:$B,$A$30,BD!$C:$C,$B36,BD!$D:$D,E$29),"-")</f>
        <v>-</v>
      </c>
      <c r="F36" s="1" t="str">
        <f>IFERROR(AVERAGEIFS(BD!$F:$F,BD!$B:$B,$A$30,BD!$C:$C,$B36,BD!$D:$D,F$29),"-")</f>
        <v>-</v>
      </c>
      <c r="G36" s="1">
        <f>IFERROR(AVERAGEIFS(BD!$F:$F,BD!$B:$B,$A$30,BD!$C:$C,$B36,BD!$D:$D,G$29),"-")</f>
        <v>28.5</v>
      </c>
      <c r="H36" s="1">
        <f>IFERROR(AVERAGEIFS(BD!$F:$F,BD!$B:$B,$A$30,BD!$C:$C,$B36,BD!$D:$D,H$29),"-")</f>
        <v>36.333333333333336</v>
      </c>
      <c r="I36" s="1" t="str">
        <f>IFERROR(AVERAGEIFS(BD!$F:$F,BD!$B:$B,$A$30,BD!$C:$C,$B36,BD!$D:$D,I$29),"-")</f>
        <v>-</v>
      </c>
      <c r="J36" s="1">
        <f>IFERROR(AVERAGEIFS(BD!$F:$F,BD!$B:$B,$A$30,BD!$C:$C,$B36,BD!$D:$D,J$29),"-")</f>
        <v>18</v>
      </c>
      <c r="K36" s="1">
        <f>IFERROR(AVERAGEIFS(BD!$F:$F,BD!$B:$B,$A$30,BD!$C:$C,$B36,BD!$D:$D,K$29),"-")</f>
        <v>18.666666666666668</v>
      </c>
      <c r="L36" s="1" t="str">
        <f>IFERROR(AVERAGEIFS(BD!$F:$F,BD!$B:$B,$A$30,BD!$C:$C,$B36,BD!$D:$D,L$29),"-")</f>
        <v>-</v>
      </c>
      <c r="M36" s="7">
        <f>AVERAGEIFS(BD!$F:$F,BD!$B:$B,$A$30,BD!$C:$C,$B36)</f>
        <v>26</v>
      </c>
      <c r="N36" s="21"/>
    </row>
    <row r="37" spans="1:14" x14ac:dyDescent="0.25">
      <c r="A37" s="12" t="s">
        <v>54</v>
      </c>
      <c r="B37" s="13"/>
      <c r="C37" s="7" t="str">
        <f>IFERROR(AVERAGEIFS(BD!$F:$F,BD!$D:$D,C$29,BD!$B:$B,$A$30),"-")</f>
        <v>-</v>
      </c>
      <c r="D37" s="7" t="str">
        <f>IFERROR(AVERAGEIFS(BD!$F:$F,BD!$D:$D,D$29,BD!$B:$B,$A$30),"-")</f>
        <v>-</v>
      </c>
      <c r="E37" s="7" t="str">
        <f>IFERROR(AVERAGEIFS(BD!$F:$F,BD!$D:$D,E$29,BD!$B:$B,$A$30),"-")</f>
        <v>-</v>
      </c>
      <c r="F37" s="7" t="str">
        <f>IFERROR(AVERAGEIFS(BD!$F:$F,BD!$D:$D,F$29,BD!$B:$B,$A$30),"-")</f>
        <v>-</v>
      </c>
      <c r="G37" s="7">
        <f>IFERROR(AVERAGEIFS(BD!$F:$F,BD!$D:$D,G$29,BD!$B:$B,$A$30),"-")</f>
        <v>81.56435643564356</v>
      </c>
      <c r="H37" s="7">
        <f>IFERROR(AVERAGEIFS(BD!$F:$F,BD!$D:$D,H$29,BD!$B:$B,$A$30),"-")</f>
        <v>94.912000000000006</v>
      </c>
      <c r="I37" s="7">
        <f>IFERROR(AVERAGEIFS(BD!$F:$F,BD!$D:$D,I$29,BD!$B:$B,$A$30),"-")</f>
        <v>109.37373737373737</v>
      </c>
      <c r="J37" s="7">
        <f>IFERROR(AVERAGEIFS(BD!$F:$F,BD!$D:$D,J$29,BD!$B:$B,$A$30),"-")</f>
        <v>80.904761904761898</v>
      </c>
      <c r="K37" s="7">
        <f>IFERROR(AVERAGEIFS(BD!$F:$F,BD!$D:$D,K$29,BD!$B:$B,$A$30),"-")</f>
        <v>99.835443037974684</v>
      </c>
      <c r="L37" s="7">
        <f>IFERROR(AVERAGEIFS(BD!$F:$F,BD!$D:$D,L$29,BD!$B:$B,$A$30),"-")</f>
        <v>141.58974358974359</v>
      </c>
      <c r="M37" s="7" t="s">
        <v>41</v>
      </c>
      <c r="N37" s="21"/>
    </row>
  </sheetData>
  <mergeCells count="10">
    <mergeCell ref="A37:B37"/>
    <mergeCell ref="N18:N27"/>
    <mergeCell ref="N30:N37"/>
    <mergeCell ref="A18:A26"/>
    <mergeCell ref="A30:A36"/>
    <mergeCell ref="A15:B15"/>
    <mergeCell ref="N4:N15"/>
    <mergeCell ref="A27:B27"/>
    <mergeCell ref="A4:A14"/>
    <mergeCell ref="A1:N1"/>
  </mergeCells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A925-33F5-4A7F-BC1D-E187F280E39A}">
  <dimension ref="A1:P1978"/>
  <sheetViews>
    <sheetView tabSelected="1" workbookViewId="0">
      <selection activeCell="M13" sqref="M13:M14"/>
    </sheetView>
  </sheetViews>
  <sheetFormatPr defaultRowHeight="15" x14ac:dyDescent="0.25"/>
  <cols>
    <col min="1" max="1" width="10.42578125" style="22" bestFit="1" customWidth="1"/>
    <col min="2" max="2" width="10.42578125" style="25" bestFit="1" customWidth="1"/>
    <col min="3" max="3" width="12.7109375" style="26" bestFit="1" customWidth="1"/>
    <col min="4" max="4" width="13.42578125" style="26" bestFit="1" customWidth="1"/>
    <col min="5" max="5" width="10.42578125" style="25" bestFit="1" customWidth="1"/>
    <col min="6" max="6" width="12.7109375" style="25" bestFit="1" customWidth="1"/>
    <col min="7" max="7" width="13.42578125" style="25" bestFit="1" customWidth="1"/>
    <col min="8" max="8" width="10.42578125" style="25" bestFit="1" customWidth="1"/>
    <col min="9" max="9" width="12.7109375" style="25" bestFit="1" customWidth="1"/>
    <col min="10" max="10" width="13.42578125" bestFit="1" customWidth="1"/>
    <col min="15" max="15" width="10.42578125" style="8" bestFit="1" customWidth="1"/>
    <col min="16" max="16" width="10.42578125" bestFit="1" customWidth="1"/>
  </cols>
  <sheetData>
    <row r="1" spans="1:16" x14ac:dyDescent="0.25">
      <c r="B1" s="23">
        <v>1</v>
      </c>
      <c r="C1" s="23"/>
      <c r="D1" s="23"/>
      <c r="E1" s="23">
        <v>2</v>
      </c>
      <c r="F1" s="23"/>
      <c r="G1" s="23"/>
      <c r="H1" s="23">
        <v>3</v>
      </c>
      <c r="I1" s="23"/>
      <c r="J1" s="23"/>
      <c r="N1" t="s">
        <v>44</v>
      </c>
      <c r="O1" s="8" t="s">
        <v>47</v>
      </c>
    </row>
    <row r="2" spans="1:16" x14ac:dyDescent="0.25">
      <c r="A2" s="24" t="s">
        <v>47</v>
      </c>
      <c r="B2" s="25" t="s">
        <v>59</v>
      </c>
      <c r="C2" s="26" t="s">
        <v>60</v>
      </c>
      <c r="D2" s="26" t="s">
        <v>61</v>
      </c>
      <c r="E2" s="25" t="s">
        <v>59</v>
      </c>
      <c r="F2" s="25" t="s">
        <v>60</v>
      </c>
      <c r="G2" s="26" t="s">
        <v>61</v>
      </c>
      <c r="H2" s="25" t="s">
        <v>59</v>
      </c>
      <c r="I2" s="25" t="s">
        <v>60</v>
      </c>
      <c r="J2" s="26" t="s">
        <v>61</v>
      </c>
      <c r="N2">
        <v>1</v>
      </c>
      <c r="O2" s="8">
        <v>44092</v>
      </c>
      <c r="P2" s="8">
        <f>DATE(YEAR(O2),MONTH(O2),1)</f>
        <v>44075</v>
      </c>
    </row>
    <row r="3" spans="1:16" x14ac:dyDescent="0.25">
      <c r="A3" s="24">
        <v>44013</v>
      </c>
      <c r="B3" s="25">
        <f>IF(COUNTIFS(N:N,B$1,P:P,$A3) = 0, "-", COUNTIFS(N:N,B$1,P:P,$A3))</f>
        <v>14</v>
      </c>
      <c r="C3" s="26">
        <f>IFERROR(DAY(EOMONTH($A3,0)) - $B3, "-")</f>
        <v>17</v>
      </c>
      <c r="D3" s="27">
        <f>IFERROR(C3/SUM(B3:C3),"-")</f>
        <v>0.54838709677419351</v>
      </c>
      <c r="E3" s="25">
        <f>IF(COUNTIFS(N:N,E$1,P:P,$A3) = 0, "-", COUNTIFS(N:N,E$1,P:P,$A3))</f>
        <v>22</v>
      </c>
      <c r="F3" s="26">
        <f>IFERROR(DAY(EOMONTH($A3,0)) - $E3, "-")</f>
        <v>9</v>
      </c>
      <c r="G3" s="27">
        <f>IFERROR(F3/SUM(E3:F3),"-")</f>
        <v>0.29032258064516131</v>
      </c>
      <c r="H3" s="25">
        <f>IF(COUNTIFS(N:N,H$1,P:P,$A3) = 0, "-", COUNTIFS(N:N,H$1,P:P,$A3))</f>
        <v>16</v>
      </c>
      <c r="I3" s="26">
        <f>IFERROR(DAY(EOMONTH($A3,0)) - $H3, "-")</f>
        <v>15</v>
      </c>
      <c r="J3" s="27">
        <f>IFERROR(I3/SUM(H3:I3),"-")</f>
        <v>0.4838709677419355</v>
      </c>
      <c r="N3">
        <v>1</v>
      </c>
      <c r="O3" s="8">
        <v>44093</v>
      </c>
      <c r="P3" s="8">
        <f t="shared" ref="P3:P66" si="0">DATE(YEAR(O3),MONTH(O3),1)</f>
        <v>44075</v>
      </c>
    </row>
    <row r="4" spans="1:16" x14ac:dyDescent="0.25">
      <c r="A4" s="24">
        <v>44044</v>
      </c>
      <c r="B4" s="25">
        <f t="shared" ref="B4:B36" si="1">IF(COUNTIFS(N:N,B$1,P:P,$A4) = 0, "-", COUNTIFS(N:N,B$1,P:P,$A4))</f>
        <v>30</v>
      </c>
      <c r="C4" s="26">
        <f t="shared" ref="C4:C36" si="2">IFERROR(DAY(EOMONTH($A4,0)) - $B4, "-")</f>
        <v>1</v>
      </c>
      <c r="D4" s="27">
        <f t="shared" ref="D4:D37" si="3">IFERROR(C4/SUM(B4:C4),"-")</f>
        <v>3.2258064516129031E-2</v>
      </c>
      <c r="E4" s="25">
        <f t="shared" ref="E4:E36" si="4">IF(COUNTIFS(N:N,E$1,P:P,$A4) = 0, "-", COUNTIFS(N:N,E$1,P:P,$A4))</f>
        <v>11</v>
      </c>
      <c r="F4" s="26">
        <f t="shared" ref="F4:F36" si="5">IFERROR(DAY(EOMONTH($A4,0)) - $E4, "-")</f>
        <v>20</v>
      </c>
      <c r="G4" s="27">
        <f t="shared" ref="G4:G37" si="6">IFERROR(F4/SUM(E4:F4),"-")</f>
        <v>0.64516129032258063</v>
      </c>
      <c r="H4" s="25">
        <f t="shared" ref="H4:H36" si="7">IF(COUNTIFS(N:N,H$1,P:P,$A4) = 0, "-", COUNTIFS(N:N,H$1,P:P,$A4))</f>
        <v>22</v>
      </c>
      <c r="I4" s="26">
        <f t="shared" ref="I4:I36" si="8">IFERROR(DAY(EOMONTH($A4,0)) - $H4, "-")</f>
        <v>9</v>
      </c>
      <c r="J4" s="27">
        <f t="shared" ref="J4:J37" si="9">IFERROR(I4/SUM(H4:I4),"-")</f>
        <v>0.29032258064516131</v>
      </c>
      <c r="N4">
        <v>1</v>
      </c>
      <c r="O4" s="8">
        <v>44094</v>
      </c>
      <c r="P4" s="8">
        <f t="shared" si="0"/>
        <v>44075</v>
      </c>
    </row>
    <row r="5" spans="1:16" x14ac:dyDescent="0.25">
      <c r="A5" s="24">
        <v>44075</v>
      </c>
      <c r="B5" s="25">
        <f t="shared" si="1"/>
        <v>30</v>
      </c>
      <c r="C5" s="26">
        <f t="shared" si="2"/>
        <v>0</v>
      </c>
      <c r="D5" s="27">
        <f t="shared" si="3"/>
        <v>0</v>
      </c>
      <c r="E5" s="25">
        <f t="shared" si="4"/>
        <v>22</v>
      </c>
      <c r="F5" s="26">
        <f t="shared" si="5"/>
        <v>8</v>
      </c>
      <c r="G5" s="27">
        <f t="shared" si="6"/>
        <v>0.26666666666666666</v>
      </c>
      <c r="H5" s="25">
        <f t="shared" si="7"/>
        <v>29</v>
      </c>
      <c r="I5" s="26">
        <f t="shared" si="8"/>
        <v>1</v>
      </c>
      <c r="J5" s="27">
        <f t="shared" si="9"/>
        <v>3.3333333333333333E-2</v>
      </c>
      <c r="N5">
        <v>1</v>
      </c>
      <c r="O5" s="8">
        <v>44095</v>
      </c>
      <c r="P5" s="8">
        <f t="shared" si="0"/>
        <v>44075</v>
      </c>
    </row>
    <row r="6" spans="1:16" x14ac:dyDescent="0.25">
      <c r="A6" s="24">
        <v>44105</v>
      </c>
      <c r="B6" s="25">
        <f t="shared" si="1"/>
        <v>23</v>
      </c>
      <c r="C6" s="26">
        <f t="shared" si="2"/>
        <v>8</v>
      </c>
      <c r="D6" s="27">
        <f t="shared" si="3"/>
        <v>0.25806451612903225</v>
      </c>
      <c r="E6" s="25">
        <f t="shared" si="4"/>
        <v>27</v>
      </c>
      <c r="F6" s="26">
        <f t="shared" si="5"/>
        <v>4</v>
      </c>
      <c r="G6" s="27">
        <f t="shared" si="6"/>
        <v>0.12903225806451613</v>
      </c>
      <c r="H6" s="25">
        <f t="shared" si="7"/>
        <v>24</v>
      </c>
      <c r="I6" s="26">
        <f t="shared" si="8"/>
        <v>7</v>
      </c>
      <c r="J6" s="27">
        <f t="shared" si="9"/>
        <v>0.22580645161290322</v>
      </c>
      <c r="N6">
        <v>1</v>
      </c>
      <c r="O6" s="8">
        <v>44096</v>
      </c>
      <c r="P6" s="8">
        <f t="shared" si="0"/>
        <v>44075</v>
      </c>
    </row>
    <row r="7" spans="1:16" x14ac:dyDescent="0.25">
      <c r="A7" s="24">
        <v>44136</v>
      </c>
      <c r="B7" s="25">
        <f t="shared" si="1"/>
        <v>27</v>
      </c>
      <c r="C7" s="26">
        <f t="shared" si="2"/>
        <v>3</v>
      </c>
      <c r="D7" s="27">
        <f t="shared" si="3"/>
        <v>0.1</v>
      </c>
      <c r="E7" s="25">
        <f t="shared" si="4"/>
        <v>23</v>
      </c>
      <c r="F7" s="26">
        <f t="shared" si="5"/>
        <v>7</v>
      </c>
      <c r="G7" s="27">
        <f t="shared" si="6"/>
        <v>0.23333333333333334</v>
      </c>
      <c r="H7" s="25">
        <f t="shared" si="7"/>
        <v>19</v>
      </c>
      <c r="I7" s="26">
        <f t="shared" si="8"/>
        <v>11</v>
      </c>
      <c r="J7" s="27">
        <f t="shared" si="9"/>
        <v>0.36666666666666664</v>
      </c>
      <c r="N7">
        <v>1</v>
      </c>
      <c r="O7" s="8">
        <v>44097</v>
      </c>
      <c r="P7" s="8">
        <f t="shared" si="0"/>
        <v>44075</v>
      </c>
    </row>
    <row r="8" spans="1:16" x14ac:dyDescent="0.25">
      <c r="A8" s="24">
        <v>44166</v>
      </c>
      <c r="B8" s="25">
        <f t="shared" si="1"/>
        <v>3</v>
      </c>
      <c r="C8" s="26">
        <f t="shared" si="2"/>
        <v>28</v>
      </c>
      <c r="D8" s="27">
        <f t="shared" si="3"/>
        <v>0.90322580645161288</v>
      </c>
      <c r="E8" s="25">
        <f t="shared" si="4"/>
        <v>20</v>
      </c>
      <c r="F8" s="26">
        <f t="shared" si="5"/>
        <v>11</v>
      </c>
      <c r="G8" s="27">
        <f t="shared" si="6"/>
        <v>0.35483870967741937</v>
      </c>
      <c r="H8" s="25" t="str">
        <f t="shared" si="7"/>
        <v>-</v>
      </c>
      <c r="I8" s="26" t="str">
        <f t="shared" si="8"/>
        <v>-</v>
      </c>
      <c r="J8" s="27" t="str">
        <f t="shared" si="9"/>
        <v>-</v>
      </c>
      <c r="N8">
        <v>1</v>
      </c>
      <c r="O8" s="8">
        <v>44098</v>
      </c>
      <c r="P8" s="8">
        <f t="shared" si="0"/>
        <v>44075</v>
      </c>
    </row>
    <row r="9" spans="1:16" x14ac:dyDescent="0.25">
      <c r="A9" s="24">
        <v>44197</v>
      </c>
      <c r="B9" s="25" t="str">
        <f t="shared" si="1"/>
        <v>-</v>
      </c>
      <c r="C9" s="26" t="str">
        <f t="shared" si="2"/>
        <v>-</v>
      </c>
      <c r="D9" s="27" t="str">
        <f t="shared" si="3"/>
        <v>-</v>
      </c>
      <c r="E9" s="25">
        <f t="shared" si="4"/>
        <v>7</v>
      </c>
      <c r="F9" s="26">
        <f t="shared" si="5"/>
        <v>24</v>
      </c>
      <c r="G9" s="27">
        <f t="shared" si="6"/>
        <v>0.77419354838709675</v>
      </c>
      <c r="H9" s="25" t="str">
        <f t="shared" si="7"/>
        <v>-</v>
      </c>
      <c r="I9" s="26" t="str">
        <f t="shared" si="8"/>
        <v>-</v>
      </c>
      <c r="J9" s="27" t="str">
        <f t="shared" si="9"/>
        <v>-</v>
      </c>
      <c r="N9">
        <v>1</v>
      </c>
      <c r="O9" s="8">
        <v>44099</v>
      </c>
      <c r="P9" s="8">
        <f t="shared" si="0"/>
        <v>44075</v>
      </c>
    </row>
    <row r="10" spans="1:16" x14ac:dyDescent="0.25">
      <c r="A10" s="24">
        <v>44228</v>
      </c>
      <c r="B10" s="25" t="str">
        <f t="shared" si="1"/>
        <v>-</v>
      </c>
      <c r="C10" s="26" t="str">
        <f t="shared" si="2"/>
        <v>-</v>
      </c>
      <c r="D10" s="27" t="str">
        <f t="shared" si="3"/>
        <v>-</v>
      </c>
      <c r="E10" s="25" t="str">
        <f t="shared" si="4"/>
        <v>-</v>
      </c>
      <c r="F10" s="26" t="str">
        <f t="shared" si="5"/>
        <v>-</v>
      </c>
      <c r="G10" s="27" t="str">
        <f t="shared" si="6"/>
        <v>-</v>
      </c>
      <c r="H10" s="25">
        <f t="shared" si="7"/>
        <v>5</v>
      </c>
      <c r="I10" s="26">
        <f t="shared" si="8"/>
        <v>23</v>
      </c>
      <c r="J10" s="27">
        <f t="shared" si="9"/>
        <v>0.8214285714285714</v>
      </c>
      <c r="N10">
        <v>1</v>
      </c>
      <c r="O10" s="8">
        <v>44076</v>
      </c>
      <c r="P10" s="8">
        <f t="shared" si="0"/>
        <v>44075</v>
      </c>
    </row>
    <row r="11" spans="1:16" x14ac:dyDescent="0.25">
      <c r="A11" s="24">
        <v>44256</v>
      </c>
      <c r="B11" s="25" t="str">
        <f t="shared" si="1"/>
        <v>-</v>
      </c>
      <c r="C11" s="26" t="str">
        <f t="shared" si="2"/>
        <v>-</v>
      </c>
      <c r="D11" s="27" t="str">
        <f t="shared" si="3"/>
        <v>-</v>
      </c>
      <c r="E11" s="25" t="str">
        <f t="shared" si="4"/>
        <v>-</v>
      </c>
      <c r="F11" s="26" t="str">
        <f t="shared" si="5"/>
        <v>-</v>
      </c>
      <c r="G11" s="27" t="str">
        <f t="shared" si="6"/>
        <v>-</v>
      </c>
      <c r="H11" s="25">
        <f t="shared" si="7"/>
        <v>14</v>
      </c>
      <c r="I11" s="26">
        <f t="shared" si="8"/>
        <v>17</v>
      </c>
      <c r="J11" s="27">
        <f t="shared" si="9"/>
        <v>0.54838709677419351</v>
      </c>
      <c r="N11">
        <v>1</v>
      </c>
      <c r="O11" s="8">
        <v>44077</v>
      </c>
      <c r="P11" s="8">
        <f t="shared" si="0"/>
        <v>44075</v>
      </c>
    </row>
    <row r="12" spans="1:16" x14ac:dyDescent="0.25">
      <c r="A12" s="24">
        <v>44287</v>
      </c>
      <c r="B12" s="25" t="str">
        <f t="shared" si="1"/>
        <v>-</v>
      </c>
      <c r="C12" s="26" t="str">
        <f t="shared" si="2"/>
        <v>-</v>
      </c>
      <c r="D12" s="27" t="str">
        <f t="shared" si="3"/>
        <v>-</v>
      </c>
      <c r="E12" s="25" t="str">
        <f t="shared" si="4"/>
        <v>-</v>
      </c>
      <c r="F12" s="26" t="str">
        <f t="shared" si="5"/>
        <v>-</v>
      </c>
      <c r="G12" s="27" t="str">
        <f t="shared" si="6"/>
        <v>-</v>
      </c>
      <c r="H12" s="25">
        <f t="shared" si="7"/>
        <v>17</v>
      </c>
      <c r="I12" s="26">
        <f t="shared" si="8"/>
        <v>13</v>
      </c>
      <c r="J12" s="27">
        <f t="shared" si="9"/>
        <v>0.43333333333333335</v>
      </c>
      <c r="N12">
        <v>1</v>
      </c>
      <c r="O12" s="8">
        <v>44078</v>
      </c>
      <c r="P12" s="8">
        <f t="shared" si="0"/>
        <v>44075</v>
      </c>
    </row>
    <row r="13" spans="1:16" x14ac:dyDescent="0.25">
      <c r="A13" s="24">
        <v>44348</v>
      </c>
      <c r="B13" s="25" t="str">
        <f t="shared" si="1"/>
        <v>-</v>
      </c>
      <c r="C13" s="26" t="str">
        <f t="shared" si="2"/>
        <v>-</v>
      </c>
      <c r="D13" s="27" t="str">
        <f t="shared" si="3"/>
        <v>-</v>
      </c>
      <c r="E13" s="25" t="str">
        <f t="shared" si="4"/>
        <v>-</v>
      </c>
      <c r="F13" s="26" t="str">
        <f t="shared" si="5"/>
        <v>-</v>
      </c>
      <c r="G13" s="27" t="str">
        <f t="shared" si="6"/>
        <v>-</v>
      </c>
      <c r="H13" s="25">
        <f t="shared" si="7"/>
        <v>11</v>
      </c>
      <c r="I13" s="26">
        <f t="shared" si="8"/>
        <v>19</v>
      </c>
      <c r="J13" s="27">
        <f t="shared" si="9"/>
        <v>0.6333333333333333</v>
      </c>
      <c r="N13">
        <v>1</v>
      </c>
      <c r="O13" s="8">
        <v>44079</v>
      </c>
      <c r="P13" s="8">
        <f t="shared" si="0"/>
        <v>44075</v>
      </c>
    </row>
    <row r="14" spans="1:16" x14ac:dyDescent="0.25">
      <c r="A14" s="24">
        <v>44378</v>
      </c>
      <c r="B14" s="25">
        <f t="shared" si="1"/>
        <v>26</v>
      </c>
      <c r="C14" s="26">
        <f t="shared" si="2"/>
        <v>5</v>
      </c>
      <c r="D14" s="27">
        <f t="shared" si="3"/>
        <v>0.16129032258064516</v>
      </c>
      <c r="E14" s="25">
        <f t="shared" si="4"/>
        <v>17</v>
      </c>
      <c r="F14" s="26">
        <f t="shared" si="5"/>
        <v>14</v>
      </c>
      <c r="G14" s="27">
        <f t="shared" si="6"/>
        <v>0.45161290322580644</v>
      </c>
      <c r="H14" s="25">
        <f t="shared" si="7"/>
        <v>21</v>
      </c>
      <c r="I14" s="26">
        <f t="shared" si="8"/>
        <v>10</v>
      </c>
      <c r="J14" s="27">
        <f t="shared" si="9"/>
        <v>0.32258064516129031</v>
      </c>
      <c r="N14">
        <v>1</v>
      </c>
      <c r="O14" s="8">
        <v>44090</v>
      </c>
      <c r="P14" s="8">
        <f t="shared" si="0"/>
        <v>44075</v>
      </c>
    </row>
    <row r="15" spans="1:16" x14ac:dyDescent="0.25">
      <c r="A15" s="24">
        <v>44409</v>
      </c>
      <c r="B15" s="25">
        <f t="shared" si="1"/>
        <v>26</v>
      </c>
      <c r="C15" s="26">
        <f t="shared" si="2"/>
        <v>5</v>
      </c>
      <c r="D15" s="27">
        <f t="shared" si="3"/>
        <v>0.16129032258064516</v>
      </c>
      <c r="E15" s="25">
        <f t="shared" si="4"/>
        <v>26</v>
      </c>
      <c r="F15" s="26">
        <f t="shared" si="5"/>
        <v>5</v>
      </c>
      <c r="G15" s="27">
        <f t="shared" si="6"/>
        <v>0.16129032258064516</v>
      </c>
      <c r="H15" s="25">
        <f t="shared" si="7"/>
        <v>9</v>
      </c>
      <c r="I15" s="26">
        <f t="shared" si="8"/>
        <v>22</v>
      </c>
      <c r="J15" s="27">
        <f t="shared" si="9"/>
        <v>0.70967741935483875</v>
      </c>
      <c r="N15">
        <v>1</v>
      </c>
      <c r="O15" s="8">
        <v>44059</v>
      </c>
      <c r="P15" s="8">
        <f t="shared" si="0"/>
        <v>44044</v>
      </c>
    </row>
    <row r="16" spans="1:16" x14ac:dyDescent="0.25">
      <c r="A16" s="24">
        <v>44440</v>
      </c>
      <c r="B16" s="25">
        <f t="shared" si="1"/>
        <v>24</v>
      </c>
      <c r="C16" s="26">
        <f t="shared" si="2"/>
        <v>6</v>
      </c>
      <c r="D16" s="27">
        <f t="shared" si="3"/>
        <v>0.2</v>
      </c>
      <c r="E16" s="25">
        <f t="shared" si="4"/>
        <v>12</v>
      </c>
      <c r="F16" s="26">
        <f t="shared" si="5"/>
        <v>18</v>
      </c>
      <c r="G16" s="27">
        <f t="shared" si="6"/>
        <v>0.6</v>
      </c>
      <c r="H16" s="25">
        <f t="shared" si="7"/>
        <v>20</v>
      </c>
      <c r="I16" s="26">
        <f t="shared" si="8"/>
        <v>10</v>
      </c>
      <c r="J16" s="27">
        <f t="shared" si="9"/>
        <v>0.33333333333333331</v>
      </c>
      <c r="N16">
        <v>1</v>
      </c>
      <c r="O16" s="8">
        <v>44060</v>
      </c>
      <c r="P16" s="8">
        <f t="shared" si="0"/>
        <v>44044</v>
      </c>
    </row>
    <row r="17" spans="1:16" x14ac:dyDescent="0.25">
      <c r="A17" s="24">
        <v>44470</v>
      </c>
      <c r="B17" s="25">
        <f t="shared" si="1"/>
        <v>20</v>
      </c>
      <c r="C17" s="26">
        <f t="shared" si="2"/>
        <v>11</v>
      </c>
      <c r="D17" s="27">
        <f t="shared" si="3"/>
        <v>0.35483870967741937</v>
      </c>
      <c r="E17" s="25">
        <f t="shared" si="4"/>
        <v>25</v>
      </c>
      <c r="F17" s="26">
        <f t="shared" si="5"/>
        <v>6</v>
      </c>
      <c r="G17" s="27">
        <f t="shared" si="6"/>
        <v>0.19354838709677419</v>
      </c>
      <c r="H17" s="25">
        <f t="shared" si="7"/>
        <v>28</v>
      </c>
      <c r="I17" s="26">
        <f t="shared" si="8"/>
        <v>3</v>
      </c>
      <c r="J17" s="27">
        <f t="shared" si="9"/>
        <v>9.6774193548387094E-2</v>
      </c>
      <c r="N17">
        <v>1</v>
      </c>
      <c r="O17" s="8">
        <v>44061</v>
      </c>
      <c r="P17" s="8">
        <f t="shared" si="0"/>
        <v>44044</v>
      </c>
    </row>
    <row r="18" spans="1:16" x14ac:dyDescent="0.25">
      <c r="A18" s="24">
        <v>44501</v>
      </c>
      <c r="B18" s="25">
        <f t="shared" si="1"/>
        <v>10</v>
      </c>
      <c r="C18" s="26">
        <f t="shared" si="2"/>
        <v>20</v>
      </c>
      <c r="D18" s="27">
        <f t="shared" si="3"/>
        <v>0.66666666666666663</v>
      </c>
      <c r="E18" s="25">
        <f t="shared" si="4"/>
        <v>27</v>
      </c>
      <c r="F18" s="26">
        <f t="shared" si="5"/>
        <v>3</v>
      </c>
      <c r="G18" s="27">
        <f t="shared" si="6"/>
        <v>0.1</v>
      </c>
      <c r="H18" s="25">
        <f t="shared" si="7"/>
        <v>14</v>
      </c>
      <c r="I18" s="26">
        <f t="shared" si="8"/>
        <v>16</v>
      </c>
      <c r="J18" s="27">
        <f t="shared" si="9"/>
        <v>0.53333333333333333</v>
      </c>
      <c r="N18">
        <v>1</v>
      </c>
      <c r="O18" s="8">
        <v>44028</v>
      </c>
      <c r="P18" s="8">
        <f t="shared" si="0"/>
        <v>44013</v>
      </c>
    </row>
    <row r="19" spans="1:16" x14ac:dyDescent="0.25">
      <c r="A19" s="24">
        <v>44531</v>
      </c>
      <c r="B19" s="25" t="str">
        <f t="shared" si="1"/>
        <v>-</v>
      </c>
      <c r="C19" s="26" t="str">
        <f t="shared" si="2"/>
        <v>-</v>
      </c>
      <c r="D19" s="27" t="str">
        <f t="shared" si="3"/>
        <v>-</v>
      </c>
      <c r="E19" s="25">
        <f t="shared" si="4"/>
        <v>18</v>
      </c>
      <c r="F19" s="26">
        <f t="shared" si="5"/>
        <v>13</v>
      </c>
      <c r="G19" s="27">
        <f t="shared" si="6"/>
        <v>0.41935483870967744</v>
      </c>
      <c r="H19" s="25">
        <f t="shared" si="7"/>
        <v>9</v>
      </c>
      <c r="I19" s="26">
        <f t="shared" si="8"/>
        <v>22</v>
      </c>
      <c r="J19" s="27">
        <f t="shared" si="9"/>
        <v>0.70967741935483875</v>
      </c>
      <c r="N19">
        <v>1</v>
      </c>
      <c r="O19" s="8">
        <v>44029</v>
      </c>
      <c r="P19" s="8">
        <f t="shared" si="0"/>
        <v>44013</v>
      </c>
    </row>
    <row r="20" spans="1:16" x14ac:dyDescent="0.25">
      <c r="A20" s="24">
        <v>44562</v>
      </c>
      <c r="B20" s="25" t="str">
        <f t="shared" si="1"/>
        <v>-</v>
      </c>
      <c r="C20" s="26" t="str">
        <f t="shared" si="2"/>
        <v>-</v>
      </c>
      <c r="D20" s="27" t="str">
        <f t="shared" si="3"/>
        <v>-</v>
      </c>
      <c r="E20" s="25">
        <f t="shared" si="4"/>
        <v>4</v>
      </c>
      <c r="F20" s="26">
        <f t="shared" si="5"/>
        <v>27</v>
      </c>
      <c r="G20" s="27">
        <f t="shared" si="6"/>
        <v>0.87096774193548387</v>
      </c>
      <c r="H20" s="25">
        <f t="shared" si="7"/>
        <v>3</v>
      </c>
      <c r="I20" s="26">
        <f t="shared" si="8"/>
        <v>28</v>
      </c>
      <c r="J20" s="27">
        <f t="shared" si="9"/>
        <v>0.90322580645161288</v>
      </c>
      <c r="N20">
        <v>1</v>
      </c>
      <c r="O20" s="8">
        <v>44030</v>
      </c>
      <c r="P20" s="8">
        <f t="shared" si="0"/>
        <v>44013</v>
      </c>
    </row>
    <row r="21" spans="1:16" x14ac:dyDescent="0.25">
      <c r="A21" s="24">
        <v>44593</v>
      </c>
      <c r="B21" s="25">
        <f t="shared" si="1"/>
        <v>1</v>
      </c>
      <c r="C21" s="26">
        <f t="shared" si="2"/>
        <v>27</v>
      </c>
      <c r="D21" s="27">
        <f t="shared" si="3"/>
        <v>0.9642857142857143</v>
      </c>
      <c r="E21" s="25" t="str">
        <f t="shared" si="4"/>
        <v>-</v>
      </c>
      <c r="F21" s="26" t="str">
        <f t="shared" si="5"/>
        <v>-</v>
      </c>
      <c r="G21" s="27" t="str">
        <f t="shared" si="6"/>
        <v>-</v>
      </c>
      <c r="H21" s="25">
        <f t="shared" si="7"/>
        <v>13</v>
      </c>
      <c r="I21" s="26">
        <f t="shared" si="8"/>
        <v>15</v>
      </c>
      <c r="J21" s="27">
        <f t="shared" si="9"/>
        <v>0.5357142857142857</v>
      </c>
      <c r="N21">
        <v>1</v>
      </c>
      <c r="O21" s="8">
        <v>44032</v>
      </c>
      <c r="P21" s="8">
        <f t="shared" si="0"/>
        <v>44013</v>
      </c>
    </row>
    <row r="22" spans="1:16" x14ac:dyDescent="0.25">
      <c r="A22" s="24">
        <v>44621</v>
      </c>
      <c r="B22" s="25" t="str">
        <f t="shared" si="1"/>
        <v>-</v>
      </c>
      <c r="C22" s="26" t="str">
        <f t="shared" si="2"/>
        <v>-</v>
      </c>
      <c r="D22" s="27" t="str">
        <f t="shared" si="3"/>
        <v>-</v>
      </c>
      <c r="E22" s="25">
        <f t="shared" si="4"/>
        <v>1</v>
      </c>
      <c r="F22" s="26">
        <f t="shared" si="5"/>
        <v>30</v>
      </c>
      <c r="G22" s="27">
        <f t="shared" si="6"/>
        <v>0.967741935483871</v>
      </c>
      <c r="H22" s="25">
        <f t="shared" si="7"/>
        <v>21</v>
      </c>
      <c r="I22" s="26">
        <f t="shared" si="8"/>
        <v>10</v>
      </c>
      <c r="J22" s="27">
        <f t="shared" si="9"/>
        <v>0.32258064516129031</v>
      </c>
      <c r="N22">
        <v>1</v>
      </c>
      <c r="O22" s="8">
        <v>44033</v>
      </c>
      <c r="P22" s="8">
        <f t="shared" si="0"/>
        <v>44013</v>
      </c>
    </row>
    <row r="23" spans="1:16" x14ac:dyDescent="0.25">
      <c r="A23" s="24">
        <v>44713</v>
      </c>
      <c r="B23" s="25">
        <f t="shared" si="1"/>
        <v>22</v>
      </c>
      <c r="C23" s="26">
        <f t="shared" si="2"/>
        <v>8</v>
      </c>
      <c r="D23" s="27">
        <f t="shared" si="3"/>
        <v>0.26666666666666666</v>
      </c>
      <c r="E23" s="25">
        <f t="shared" si="4"/>
        <v>16</v>
      </c>
      <c r="F23" s="26">
        <f t="shared" si="5"/>
        <v>14</v>
      </c>
      <c r="G23" s="27">
        <f t="shared" si="6"/>
        <v>0.46666666666666667</v>
      </c>
      <c r="H23" s="25" t="str">
        <f t="shared" si="7"/>
        <v>-</v>
      </c>
      <c r="I23" s="26" t="str">
        <f t="shared" si="8"/>
        <v>-</v>
      </c>
      <c r="J23" s="27" t="str">
        <f t="shared" si="9"/>
        <v>-</v>
      </c>
      <c r="N23">
        <v>1</v>
      </c>
      <c r="O23" s="8">
        <v>44036</v>
      </c>
      <c r="P23" s="8">
        <f t="shared" si="0"/>
        <v>44013</v>
      </c>
    </row>
    <row r="24" spans="1:16" x14ac:dyDescent="0.25">
      <c r="A24" s="24">
        <v>44743</v>
      </c>
      <c r="B24" s="25">
        <f t="shared" si="1"/>
        <v>30</v>
      </c>
      <c r="C24" s="26">
        <f t="shared" si="2"/>
        <v>1</v>
      </c>
      <c r="D24" s="27">
        <f t="shared" si="3"/>
        <v>3.2258064516129031E-2</v>
      </c>
      <c r="E24" s="25">
        <f t="shared" si="4"/>
        <v>27</v>
      </c>
      <c r="F24" s="26">
        <f t="shared" si="5"/>
        <v>4</v>
      </c>
      <c r="G24" s="27">
        <f t="shared" si="6"/>
        <v>0.12903225806451613</v>
      </c>
      <c r="H24" s="25">
        <f t="shared" si="7"/>
        <v>15</v>
      </c>
      <c r="I24" s="26">
        <f t="shared" si="8"/>
        <v>16</v>
      </c>
      <c r="J24" s="27">
        <f t="shared" si="9"/>
        <v>0.5161290322580645</v>
      </c>
      <c r="N24">
        <v>1</v>
      </c>
      <c r="O24" s="8">
        <v>44031</v>
      </c>
      <c r="P24" s="8">
        <f t="shared" si="0"/>
        <v>44013</v>
      </c>
    </row>
    <row r="25" spans="1:16" x14ac:dyDescent="0.25">
      <c r="A25" s="24">
        <v>44774</v>
      </c>
      <c r="B25" s="25">
        <f t="shared" si="1"/>
        <v>27</v>
      </c>
      <c r="C25" s="26">
        <f t="shared" si="2"/>
        <v>4</v>
      </c>
      <c r="D25" s="27">
        <f t="shared" si="3"/>
        <v>0.12903225806451613</v>
      </c>
      <c r="E25" s="25">
        <f t="shared" si="4"/>
        <v>28</v>
      </c>
      <c r="F25" s="26">
        <f t="shared" si="5"/>
        <v>3</v>
      </c>
      <c r="G25" s="27">
        <f t="shared" si="6"/>
        <v>9.6774193548387094E-2</v>
      </c>
      <c r="H25" s="25">
        <f t="shared" si="7"/>
        <v>19</v>
      </c>
      <c r="I25" s="26">
        <f t="shared" si="8"/>
        <v>12</v>
      </c>
      <c r="J25" s="27">
        <f t="shared" si="9"/>
        <v>0.38709677419354838</v>
      </c>
      <c r="N25">
        <v>1</v>
      </c>
      <c r="O25" s="8">
        <v>44037</v>
      </c>
      <c r="P25" s="8">
        <f t="shared" si="0"/>
        <v>44013</v>
      </c>
    </row>
    <row r="26" spans="1:16" x14ac:dyDescent="0.25">
      <c r="A26" s="24">
        <v>44805</v>
      </c>
      <c r="B26" s="25">
        <f t="shared" si="1"/>
        <v>17</v>
      </c>
      <c r="C26" s="26">
        <f t="shared" si="2"/>
        <v>13</v>
      </c>
      <c r="D26" s="27">
        <f t="shared" si="3"/>
        <v>0.43333333333333335</v>
      </c>
      <c r="E26" s="25">
        <f t="shared" si="4"/>
        <v>26</v>
      </c>
      <c r="F26" s="26">
        <f t="shared" si="5"/>
        <v>4</v>
      </c>
      <c r="G26" s="27">
        <f t="shared" si="6"/>
        <v>0.13333333333333333</v>
      </c>
      <c r="H26" s="25">
        <f t="shared" si="7"/>
        <v>18</v>
      </c>
      <c r="I26" s="26">
        <f t="shared" si="8"/>
        <v>12</v>
      </c>
      <c r="J26" s="27">
        <f t="shared" si="9"/>
        <v>0.4</v>
      </c>
      <c r="N26">
        <v>1</v>
      </c>
      <c r="O26" s="8">
        <v>44038</v>
      </c>
      <c r="P26" s="8">
        <f t="shared" si="0"/>
        <v>44013</v>
      </c>
    </row>
    <row r="27" spans="1:16" x14ac:dyDescent="0.25">
      <c r="A27" s="24">
        <v>44835</v>
      </c>
      <c r="B27" s="25" t="str">
        <f t="shared" si="1"/>
        <v>-</v>
      </c>
      <c r="C27" s="26" t="str">
        <f t="shared" si="2"/>
        <v>-</v>
      </c>
      <c r="D27" s="27" t="str">
        <f t="shared" si="3"/>
        <v>-</v>
      </c>
      <c r="E27" s="25">
        <f t="shared" si="4"/>
        <v>8</v>
      </c>
      <c r="F27" s="26">
        <f t="shared" si="5"/>
        <v>23</v>
      </c>
      <c r="G27" s="27">
        <f t="shared" si="6"/>
        <v>0.74193548387096775</v>
      </c>
      <c r="H27" s="25">
        <f t="shared" si="7"/>
        <v>28</v>
      </c>
      <c r="I27" s="26">
        <f t="shared" si="8"/>
        <v>3</v>
      </c>
      <c r="J27" s="27">
        <f t="shared" si="9"/>
        <v>9.6774193548387094E-2</v>
      </c>
      <c r="N27">
        <v>1</v>
      </c>
      <c r="O27" s="8">
        <v>44039</v>
      </c>
      <c r="P27" s="8">
        <f t="shared" si="0"/>
        <v>44013</v>
      </c>
    </row>
    <row r="28" spans="1:16" x14ac:dyDescent="0.25">
      <c r="A28" s="24">
        <v>44866</v>
      </c>
      <c r="B28" s="25" t="str">
        <f t="shared" si="1"/>
        <v>-</v>
      </c>
      <c r="C28" s="26" t="str">
        <f t="shared" si="2"/>
        <v>-</v>
      </c>
      <c r="D28" s="27" t="str">
        <f t="shared" si="3"/>
        <v>-</v>
      </c>
      <c r="E28" s="25" t="str">
        <f t="shared" si="4"/>
        <v>-</v>
      </c>
      <c r="F28" s="26" t="str">
        <f t="shared" si="5"/>
        <v>-</v>
      </c>
      <c r="G28" s="27" t="str">
        <f t="shared" si="6"/>
        <v>-</v>
      </c>
      <c r="H28" s="25">
        <f t="shared" si="7"/>
        <v>26</v>
      </c>
      <c r="I28" s="26">
        <f t="shared" si="8"/>
        <v>4</v>
      </c>
      <c r="J28" s="27">
        <f t="shared" si="9"/>
        <v>0.13333333333333333</v>
      </c>
      <c r="N28">
        <v>1</v>
      </c>
      <c r="O28" s="8">
        <v>44040</v>
      </c>
      <c r="P28" s="8">
        <f t="shared" si="0"/>
        <v>44013</v>
      </c>
    </row>
    <row r="29" spans="1:16" x14ac:dyDescent="0.25">
      <c r="A29" s="24">
        <v>44896</v>
      </c>
      <c r="B29" s="25" t="str">
        <f t="shared" si="1"/>
        <v>-</v>
      </c>
      <c r="C29" s="26" t="str">
        <f t="shared" si="2"/>
        <v>-</v>
      </c>
      <c r="D29" s="27" t="str">
        <f t="shared" si="3"/>
        <v>-</v>
      </c>
      <c r="E29" s="25" t="str">
        <f t="shared" si="4"/>
        <v>-</v>
      </c>
      <c r="F29" s="26" t="str">
        <f t="shared" si="5"/>
        <v>-</v>
      </c>
      <c r="G29" s="27" t="str">
        <f t="shared" si="6"/>
        <v>-</v>
      </c>
      <c r="H29" s="25">
        <f t="shared" si="7"/>
        <v>15</v>
      </c>
      <c r="I29" s="26">
        <f t="shared" si="8"/>
        <v>16</v>
      </c>
      <c r="J29" s="27">
        <f t="shared" si="9"/>
        <v>0.5161290322580645</v>
      </c>
      <c r="N29">
        <v>1</v>
      </c>
      <c r="O29" s="8">
        <v>44046</v>
      </c>
      <c r="P29" s="8">
        <f t="shared" si="0"/>
        <v>44044</v>
      </c>
    </row>
    <row r="30" spans="1:16" x14ac:dyDescent="0.25">
      <c r="A30" s="24">
        <v>44927</v>
      </c>
      <c r="B30" s="25" t="str">
        <f t="shared" si="1"/>
        <v>-</v>
      </c>
      <c r="C30" s="26" t="str">
        <f t="shared" si="2"/>
        <v>-</v>
      </c>
      <c r="D30" s="27" t="str">
        <f t="shared" si="3"/>
        <v>-</v>
      </c>
      <c r="E30" s="25" t="str">
        <f t="shared" si="4"/>
        <v>-</v>
      </c>
      <c r="F30" s="26" t="str">
        <f t="shared" si="5"/>
        <v>-</v>
      </c>
      <c r="G30" s="27" t="str">
        <f t="shared" si="6"/>
        <v>-</v>
      </c>
      <c r="H30" s="25">
        <f t="shared" si="7"/>
        <v>4</v>
      </c>
      <c r="I30" s="26">
        <f t="shared" si="8"/>
        <v>27</v>
      </c>
      <c r="J30" s="27">
        <f t="shared" si="9"/>
        <v>0.87096774193548387</v>
      </c>
      <c r="N30">
        <v>1</v>
      </c>
      <c r="O30" s="8">
        <v>44048</v>
      </c>
      <c r="P30" s="8">
        <f t="shared" si="0"/>
        <v>44044</v>
      </c>
    </row>
    <row r="31" spans="1:16" x14ac:dyDescent="0.25">
      <c r="A31" s="24">
        <v>45047</v>
      </c>
      <c r="B31" s="25">
        <f t="shared" si="1"/>
        <v>17</v>
      </c>
      <c r="C31" s="26">
        <f t="shared" si="2"/>
        <v>14</v>
      </c>
      <c r="D31" s="27">
        <f t="shared" si="3"/>
        <v>0.45161290322580644</v>
      </c>
      <c r="E31" s="25">
        <f t="shared" si="4"/>
        <v>29</v>
      </c>
      <c r="F31" s="26">
        <f t="shared" si="5"/>
        <v>2</v>
      </c>
      <c r="G31" s="27">
        <f t="shared" si="6"/>
        <v>6.4516129032258063E-2</v>
      </c>
      <c r="H31" s="25">
        <f t="shared" si="7"/>
        <v>21</v>
      </c>
      <c r="I31" s="26">
        <f t="shared" si="8"/>
        <v>10</v>
      </c>
      <c r="J31" s="27">
        <f t="shared" si="9"/>
        <v>0.32258064516129031</v>
      </c>
      <c r="N31">
        <v>1</v>
      </c>
      <c r="O31" s="8">
        <v>44049</v>
      </c>
      <c r="P31" s="8">
        <f t="shared" si="0"/>
        <v>44044</v>
      </c>
    </row>
    <row r="32" spans="1:16" x14ac:dyDescent="0.25">
      <c r="A32" s="24">
        <v>45078</v>
      </c>
      <c r="B32" s="25">
        <f t="shared" si="1"/>
        <v>17</v>
      </c>
      <c r="C32" s="26">
        <f t="shared" si="2"/>
        <v>13</v>
      </c>
      <c r="D32" s="27">
        <f t="shared" si="3"/>
        <v>0.43333333333333335</v>
      </c>
      <c r="E32" s="25">
        <f t="shared" si="4"/>
        <v>25</v>
      </c>
      <c r="F32" s="26">
        <f t="shared" si="5"/>
        <v>5</v>
      </c>
      <c r="G32" s="27">
        <f t="shared" si="6"/>
        <v>0.16666666666666666</v>
      </c>
      <c r="H32" s="25">
        <f t="shared" si="7"/>
        <v>21</v>
      </c>
      <c r="I32" s="26">
        <f t="shared" si="8"/>
        <v>9</v>
      </c>
      <c r="J32" s="27">
        <f t="shared" si="9"/>
        <v>0.3</v>
      </c>
      <c r="N32">
        <v>1</v>
      </c>
      <c r="O32" s="8">
        <v>44050</v>
      </c>
      <c r="P32" s="8">
        <f t="shared" si="0"/>
        <v>44044</v>
      </c>
    </row>
    <row r="33" spans="1:16" x14ac:dyDescent="0.25">
      <c r="A33" s="24">
        <v>45108</v>
      </c>
      <c r="B33" s="25">
        <f t="shared" si="1"/>
        <v>27</v>
      </c>
      <c r="C33" s="26">
        <f t="shared" si="2"/>
        <v>4</v>
      </c>
      <c r="D33" s="27">
        <f t="shared" si="3"/>
        <v>0.12903225806451613</v>
      </c>
      <c r="E33" s="25">
        <f t="shared" si="4"/>
        <v>29</v>
      </c>
      <c r="F33" s="26">
        <f t="shared" si="5"/>
        <v>2</v>
      </c>
      <c r="G33" s="27">
        <f t="shared" si="6"/>
        <v>6.4516129032258063E-2</v>
      </c>
      <c r="H33" s="25">
        <f t="shared" si="7"/>
        <v>21</v>
      </c>
      <c r="I33" s="26">
        <f t="shared" si="8"/>
        <v>10</v>
      </c>
      <c r="J33" s="27">
        <f t="shared" si="9"/>
        <v>0.32258064516129031</v>
      </c>
      <c r="N33">
        <v>1</v>
      </c>
      <c r="O33" s="8">
        <v>44051</v>
      </c>
      <c r="P33" s="8">
        <f t="shared" si="0"/>
        <v>44044</v>
      </c>
    </row>
    <row r="34" spans="1:16" x14ac:dyDescent="0.25">
      <c r="A34" s="24">
        <v>45139</v>
      </c>
      <c r="B34" s="25">
        <f t="shared" si="1"/>
        <v>24</v>
      </c>
      <c r="C34" s="26">
        <f t="shared" si="2"/>
        <v>7</v>
      </c>
      <c r="D34" s="27">
        <f t="shared" si="3"/>
        <v>0.22580645161290322</v>
      </c>
      <c r="E34" s="25">
        <f t="shared" si="4"/>
        <v>14</v>
      </c>
      <c r="F34" s="26">
        <f t="shared" si="5"/>
        <v>17</v>
      </c>
      <c r="G34" s="27">
        <f t="shared" si="6"/>
        <v>0.54838709677419351</v>
      </c>
      <c r="H34" s="25">
        <f t="shared" si="7"/>
        <v>27</v>
      </c>
      <c r="I34" s="26">
        <f t="shared" si="8"/>
        <v>4</v>
      </c>
      <c r="J34" s="27">
        <f t="shared" si="9"/>
        <v>0.12903225806451613</v>
      </c>
      <c r="N34">
        <v>1</v>
      </c>
      <c r="O34" s="8">
        <v>44052</v>
      </c>
      <c r="P34" s="8">
        <f t="shared" si="0"/>
        <v>44044</v>
      </c>
    </row>
    <row r="35" spans="1:16" x14ac:dyDescent="0.25">
      <c r="A35" s="24">
        <v>45170</v>
      </c>
      <c r="B35" s="25">
        <f t="shared" si="1"/>
        <v>17</v>
      </c>
      <c r="C35" s="26">
        <f t="shared" si="2"/>
        <v>13</v>
      </c>
      <c r="D35" s="27">
        <f t="shared" si="3"/>
        <v>0.43333333333333335</v>
      </c>
      <c r="E35" s="25" t="str">
        <f t="shared" si="4"/>
        <v>-</v>
      </c>
      <c r="F35" s="26" t="str">
        <f t="shared" si="5"/>
        <v>-</v>
      </c>
      <c r="G35" s="27" t="str">
        <f t="shared" si="6"/>
        <v>-</v>
      </c>
      <c r="H35" s="25">
        <f t="shared" si="7"/>
        <v>11</v>
      </c>
      <c r="I35" s="26">
        <f t="shared" si="8"/>
        <v>19</v>
      </c>
      <c r="J35" s="27">
        <f t="shared" si="9"/>
        <v>0.6333333333333333</v>
      </c>
      <c r="N35">
        <v>1</v>
      </c>
      <c r="O35" s="8">
        <v>44053</v>
      </c>
      <c r="P35" s="8">
        <f t="shared" si="0"/>
        <v>44044</v>
      </c>
    </row>
    <row r="36" spans="1:16" x14ac:dyDescent="0.25">
      <c r="A36" s="24">
        <v>45261</v>
      </c>
      <c r="B36" s="25">
        <f t="shared" si="1"/>
        <v>3</v>
      </c>
      <c r="C36" s="26">
        <f t="shared" si="2"/>
        <v>28</v>
      </c>
      <c r="D36" s="27">
        <f t="shared" si="3"/>
        <v>0.90322580645161288</v>
      </c>
      <c r="E36" s="25" t="str">
        <f t="shared" si="4"/>
        <v>-</v>
      </c>
      <c r="F36" s="26" t="str">
        <f t="shared" si="5"/>
        <v>-</v>
      </c>
      <c r="G36" s="27" t="str">
        <f t="shared" si="6"/>
        <v>-</v>
      </c>
      <c r="H36" s="25">
        <f t="shared" si="7"/>
        <v>1</v>
      </c>
      <c r="I36" s="26">
        <f t="shared" si="8"/>
        <v>30</v>
      </c>
      <c r="J36" s="27">
        <f t="shared" si="9"/>
        <v>0.967741935483871</v>
      </c>
      <c r="N36">
        <v>1</v>
      </c>
      <c r="O36" s="8">
        <v>44054</v>
      </c>
      <c r="P36" s="8">
        <f t="shared" si="0"/>
        <v>44044</v>
      </c>
    </row>
    <row r="37" spans="1:16" x14ac:dyDescent="0.25">
      <c r="B37" s="25">
        <f>SUM(B3:B36)</f>
        <v>435</v>
      </c>
      <c r="C37" s="25">
        <f>SUM(C3:C36)</f>
        <v>236</v>
      </c>
      <c r="D37" s="27">
        <f t="shared" si="3"/>
        <v>0.35171385991058124</v>
      </c>
      <c r="E37" s="25">
        <f>SUM(E3:E36)</f>
        <v>464</v>
      </c>
      <c r="F37" s="25">
        <f>SUM(F3:F36)</f>
        <v>273</v>
      </c>
      <c r="G37" s="27">
        <f t="shared" si="6"/>
        <v>0.37042062415196741</v>
      </c>
      <c r="H37" s="25">
        <f>SUM(H3:H36)</f>
        <v>522</v>
      </c>
      <c r="I37" s="25">
        <f>SUM(I3:I36)</f>
        <v>423</v>
      </c>
      <c r="J37" s="27">
        <f t="shared" si="9"/>
        <v>0.44761904761904764</v>
      </c>
      <c r="N37">
        <v>1</v>
      </c>
      <c r="O37" s="8">
        <v>44055</v>
      </c>
      <c r="P37" s="8">
        <f t="shared" si="0"/>
        <v>44044</v>
      </c>
    </row>
    <row r="38" spans="1:16" x14ac:dyDescent="0.25">
      <c r="A38" s="25"/>
      <c r="N38">
        <v>1</v>
      </c>
      <c r="O38" s="8">
        <v>44101</v>
      </c>
      <c r="P38" s="8">
        <f t="shared" si="0"/>
        <v>44075</v>
      </c>
    </row>
    <row r="39" spans="1:16" x14ac:dyDescent="0.25">
      <c r="A39" s="25"/>
      <c r="N39">
        <v>1</v>
      </c>
      <c r="O39" s="8">
        <v>44102</v>
      </c>
      <c r="P39" s="8">
        <f t="shared" si="0"/>
        <v>44075</v>
      </c>
    </row>
    <row r="40" spans="1:16" x14ac:dyDescent="0.25">
      <c r="A40" s="25"/>
      <c r="N40">
        <v>1</v>
      </c>
      <c r="O40" s="8">
        <v>44103</v>
      </c>
      <c r="P40" s="8">
        <f t="shared" si="0"/>
        <v>44075</v>
      </c>
    </row>
    <row r="41" spans="1:16" x14ac:dyDescent="0.25">
      <c r="A41" s="25"/>
      <c r="N41">
        <v>1</v>
      </c>
      <c r="O41" s="8">
        <v>44047</v>
      </c>
      <c r="P41" s="8">
        <f t="shared" si="0"/>
        <v>44044</v>
      </c>
    </row>
    <row r="42" spans="1:16" x14ac:dyDescent="0.25">
      <c r="A42" s="25"/>
      <c r="N42">
        <v>1</v>
      </c>
      <c r="O42" s="8">
        <v>44056</v>
      </c>
      <c r="P42" s="8">
        <f t="shared" si="0"/>
        <v>44044</v>
      </c>
    </row>
    <row r="43" spans="1:16" x14ac:dyDescent="0.25">
      <c r="A43" s="25"/>
      <c r="N43">
        <v>1</v>
      </c>
      <c r="O43" s="8">
        <v>44057</v>
      </c>
      <c r="P43" s="8">
        <f t="shared" si="0"/>
        <v>44044</v>
      </c>
    </row>
    <row r="44" spans="1:16" x14ac:dyDescent="0.25">
      <c r="A44" s="25"/>
      <c r="N44">
        <v>1</v>
      </c>
      <c r="O44" s="8">
        <v>44058</v>
      </c>
      <c r="P44" s="8">
        <f t="shared" si="0"/>
        <v>44044</v>
      </c>
    </row>
    <row r="45" spans="1:16" x14ac:dyDescent="0.25">
      <c r="A45" s="25"/>
      <c r="N45">
        <v>1</v>
      </c>
      <c r="O45" s="8">
        <v>44062</v>
      </c>
      <c r="P45" s="8">
        <f t="shared" si="0"/>
        <v>44044</v>
      </c>
    </row>
    <row r="46" spans="1:16" x14ac:dyDescent="0.25">
      <c r="A46" s="25"/>
      <c r="N46">
        <v>1</v>
      </c>
      <c r="O46" s="8">
        <v>44063</v>
      </c>
      <c r="P46" s="8">
        <f t="shared" si="0"/>
        <v>44044</v>
      </c>
    </row>
    <row r="47" spans="1:16" x14ac:dyDescent="0.25">
      <c r="A47" s="25"/>
      <c r="N47">
        <v>1</v>
      </c>
      <c r="O47" s="8">
        <v>44065</v>
      </c>
      <c r="P47" s="8">
        <f t="shared" si="0"/>
        <v>44044</v>
      </c>
    </row>
    <row r="48" spans="1:16" x14ac:dyDescent="0.25">
      <c r="A48" s="25"/>
      <c r="N48">
        <v>1</v>
      </c>
      <c r="O48" s="8">
        <v>44066</v>
      </c>
      <c r="P48" s="8">
        <f t="shared" si="0"/>
        <v>44044</v>
      </c>
    </row>
    <row r="49" spans="1:16" x14ac:dyDescent="0.25">
      <c r="A49" s="25"/>
      <c r="N49">
        <v>1</v>
      </c>
      <c r="O49" s="8">
        <v>44067</v>
      </c>
      <c r="P49" s="8">
        <f t="shared" si="0"/>
        <v>44044</v>
      </c>
    </row>
    <row r="50" spans="1:16" x14ac:dyDescent="0.25">
      <c r="A50" s="25"/>
      <c r="N50">
        <v>1</v>
      </c>
      <c r="O50" s="8">
        <v>44068</v>
      </c>
      <c r="P50" s="8">
        <f t="shared" si="0"/>
        <v>44044</v>
      </c>
    </row>
    <row r="51" spans="1:16" x14ac:dyDescent="0.25">
      <c r="A51" s="25"/>
      <c r="N51">
        <v>1</v>
      </c>
      <c r="O51" s="8">
        <v>44069</v>
      </c>
      <c r="P51" s="8">
        <f t="shared" si="0"/>
        <v>44044</v>
      </c>
    </row>
    <row r="52" spans="1:16" x14ac:dyDescent="0.25">
      <c r="A52" s="25"/>
      <c r="N52">
        <v>1</v>
      </c>
      <c r="O52" s="8">
        <v>44070</v>
      </c>
      <c r="P52" s="8">
        <f t="shared" si="0"/>
        <v>44044</v>
      </c>
    </row>
    <row r="53" spans="1:16" x14ac:dyDescent="0.25">
      <c r="A53" s="25"/>
      <c r="N53">
        <v>1</v>
      </c>
      <c r="O53" s="8">
        <v>44071</v>
      </c>
      <c r="P53" s="8">
        <f t="shared" si="0"/>
        <v>44044</v>
      </c>
    </row>
    <row r="54" spans="1:16" x14ac:dyDescent="0.25">
      <c r="A54" s="25"/>
      <c r="N54">
        <v>1</v>
      </c>
      <c r="O54" s="8">
        <v>44072</v>
      </c>
      <c r="P54" s="8">
        <f t="shared" si="0"/>
        <v>44044</v>
      </c>
    </row>
    <row r="55" spans="1:16" x14ac:dyDescent="0.25">
      <c r="A55" s="25"/>
      <c r="N55">
        <v>1</v>
      </c>
      <c r="O55" s="8">
        <v>44073</v>
      </c>
      <c r="P55" s="8">
        <f t="shared" si="0"/>
        <v>44044</v>
      </c>
    </row>
    <row r="56" spans="1:16" x14ac:dyDescent="0.25">
      <c r="A56" s="25"/>
      <c r="N56">
        <v>1</v>
      </c>
      <c r="O56" s="8">
        <v>44074</v>
      </c>
      <c r="P56" s="8">
        <f t="shared" si="0"/>
        <v>44044</v>
      </c>
    </row>
    <row r="57" spans="1:16" x14ac:dyDescent="0.25">
      <c r="A57" s="25"/>
      <c r="N57">
        <v>1</v>
      </c>
      <c r="O57" s="8">
        <v>44075</v>
      </c>
      <c r="P57" s="8">
        <f t="shared" si="0"/>
        <v>44075</v>
      </c>
    </row>
    <row r="58" spans="1:16" x14ac:dyDescent="0.25">
      <c r="A58" s="25"/>
      <c r="N58">
        <v>1</v>
      </c>
      <c r="O58" s="8">
        <v>44080</v>
      </c>
      <c r="P58" s="8">
        <f t="shared" si="0"/>
        <v>44075</v>
      </c>
    </row>
    <row r="59" spans="1:16" x14ac:dyDescent="0.25">
      <c r="A59" s="25"/>
      <c r="N59">
        <v>1</v>
      </c>
      <c r="O59" s="8">
        <v>44082</v>
      </c>
      <c r="P59" s="8">
        <f t="shared" si="0"/>
        <v>44075</v>
      </c>
    </row>
    <row r="60" spans="1:16" x14ac:dyDescent="0.25">
      <c r="A60" s="25"/>
      <c r="N60">
        <v>1</v>
      </c>
      <c r="O60" s="8">
        <v>44083</v>
      </c>
      <c r="P60" s="8">
        <f t="shared" si="0"/>
        <v>44075</v>
      </c>
    </row>
    <row r="61" spans="1:16" x14ac:dyDescent="0.25">
      <c r="A61" s="25"/>
      <c r="N61">
        <v>1</v>
      </c>
      <c r="O61" s="8">
        <v>44084</v>
      </c>
      <c r="P61" s="8">
        <f t="shared" si="0"/>
        <v>44075</v>
      </c>
    </row>
    <row r="62" spans="1:16" x14ac:dyDescent="0.25">
      <c r="A62" s="25"/>
      <c r="N62">
        <v>1</v>
      </c>
      <c r="O62" s="8">
        <v>44085</v>
      </c>
      <c r="P62" s="8">
        <f t="shared" si="0"/>
        <v>44075</v>
      </c>
    </row>
    <row r="63" spans="1:16" x14ac:dyDescent="0.25">
      <c r="A63" s="25"/>
      <c r="N63">
        <v>1</v>
      </c>
      <c r="O63" s="8">
        <v>44086</v>
      </c>
      <c r="P63" s="8">
        <f t="shared" si="0"/>
        <v>44075</v>
      </c>
    </row>
    <row r="64" spans="1:16" x14ac:dyDescent="0.25">
      <c r="A64" s="25"/>
      <c r="N64">
        <v>1</v>
      </c>
      <c r="O64" s="8">
        <v>44087</v>
      </c>
      <c r="P64" s="8">
        <f t="shared" si="0"/>
        <v>44075</v>
      </c>
    </row>
    <row r="65" spans="1:16" x14ac:dyDescent="0.25">
      <c r="A65" s="25"/>
      <c r="N65">
        <v>1</v>
      </c>
      <c r="O65" s="8">
        <v>44088</v>
      </c>
      <c r="P65" s="8">
        <f t="shared" si="0"/>
        <v>44075</v>
      </c>
    </row>
    <row r="66" spans="1:16" x14ac:dyDescent="0.25">
      <c r="A66" s="25"/>
      <c r="N66">
        <v>1</v>
      </c>
      <c r="O66" s="8">
        <v>44089</v>
      </c>
      <c r="P66" s="8">
        <f t="shared" si="0"/>
        <v>44075</v>
      </c>
    </row>
    <row r="67" spans="1:16" x14ac:dyDescent="0.25">
      <c r="A67" s="25"/>
      <c r="N67">
        <v>1</v>
      </c>
      <c r="O67" s="8">
        <v>44091</v>
      </c>
      <c r="P67" s="8">
        <f t="shared" ref="P67:P130" si="10">DATE(YEAR(O67),MONTH(O67),1)</f>
        <v>44075</v>
      </c>
    </row>
    <row r="68" spans="1:16" x14ac:dyDescent="0.25">
      <c r="A68" s="25"/>
      <c r="N68">
        <v>1</v>
      </c>
      <c r="O68" s="8">
        <v>44041</v>
      </c>
      <c r="P68" s="8">
        <f t="shared" si="10"/>
        <v>44013</v>
      </c>
    </row>
    <row r="69" spans="1:16" x14ac:dyDescent="0.25">
      <c r="A69" s="25"/>
      <c r="N69">
        <v>1</v>
      </c>
      <c r="O69" s="8">
        <v>44042</v>
      </c>
      <c r="P69" s="8">
        <f t="shared" si="10"/>
        <v>44013</v>
      </c>
    </row>
    <row r="70" spans="1:16" x14ac:dyDescent="0.25">
      <c r="A70" s="25"/>
      <c r="N70">
        <v>1</v>
      </c>
      <c r="O70" s="8">
        <v>44043</v>
      </c>
      <c r="P70" s="8">
        <f t="shared" si="10"/>
        <v>44013</v>
      </c>
    </row>
    <row r="71" spans="1:16" x14ac:dyDescent="0.25">
      <c r="A71" s="25"/>
      <c r="N71">
        <v>1</v>
      </c>
      <c r="O71" s="8">
        <v>44044</v>
      </c>
      <c r="P71" s="8">
        <f t="shared" si="10"/>
        <v>44044</v>
      </c>
    </row>
    <row r="72" spans="1:16" x14ac:dyDescent="0.25">
      <c r="A72" s="25"/>
      <c r="N72">
        <v>1</v>
      </c>
      <c r="O72" s="8">
        <v>44045</v>
      </c>
      <c r="P72" s="8">
        <f t="shared" si="10"/>
        <v>44044</v>
      </c>
    </row>
    <row r="73" spans="1:16" x14ac:dyDescent="0.25">
      <c r="A73" s="25"/>
      <c r="N73">
        <v>1</v>
      </c>
      <c r="O73" s="8">
        <v>44104</v>
      </c>
      <c r="P73" s="8">
        <f t="shared" si="10"/>
        <v>44075</v>
      </c>
    </row>
    <row r="74" spans="1:16" x14ac:dyDescent="0.25">
      <c r="A74" s="25"/>
      <c r="N74">
        <v>1</v>
      </c>
      <c r="O74" s="8">
        <v>44110</v>
      </c>
      <c r="P74" s="8">
        <f t="shared" si="10"/>
        <v>44105</v>
      </c>
    </row>
    <row r="75" spans="1:16" x14ac:dyDescent="0.25">
      <c r="A75" s="25"/>
      <c r="N75">
        <v>1</v>
      </c>
      <c r="O75" s="8">
        <v>44111</v>
      </c>
      <c r="P75" s="8">
        <f t="shared" si="10"/>
        <v>44105</v>
      </c>
    </row>
    <row r="76" spans="1:16" x14ac:dyDescent="0.25">
      <c r="A76" s="25"/>
      <c r="N76">
        <v>1</v>
      </c>
      <c r="O76" s="8">
        <v>44112</v>
      </c>
      <c r="P76" s="8">
        <f t="shared" si="10"/>
        <v>44105</v>
      </c>
    </row>
    <row r="77" spans="1:16" x14ac:dyDescent="0.25">
      <c r="A77" s="25"/>
      <c r="N77">
        <v>1</v>
      </c>
      <c r="O77" s="8">
        <v>44113</v>
      </c>
      <c r="P77" s="8">
        <f t="shared" si="10"/>
        <v>44105</v>
      </c>
    </row>
    <row r="78" spans="1:16" x14ac:dyDescent="0.25">
      <c r="A78" s="25"/>
      <c r="N78">
        <v>1</v>
      </c>
      <c r="O78" s="8">
        <v>44115</v>
      </c>
      <c r="P78" s="8">
        <f t="shared" si="10"/>
        <v>44105</v>
      </c>
    </row>
    <row r="79" spans="1:16" x14ac:dyDescent="0.25">
      <c r="A79" s="25"/>
      <c r="N79">
        <v>1</v>
      </c>
      <c r="O79" s="8">
        <v>44116</v>
      </c>
      <c r="P79" s="8">
        <f t="shared" si="10"/>
        <v>44105</v>
      </c>
    </row>
    <row r="80" spans="1:16" x14ac:dyDescent="0.25">
      <c r="A80" s="25"/>
      <c r="N80">
        <v>1</v>
      </c>
      <c r="O80" s="8">
        <v>44117</v>
      </c>
      <c r="P80" s="8">
        <f t="shared" si="10"/>
        <v>44105</v>
      </c>
    </row>
    <row r="81" spans="1:16" x14ac:dyDescent="0.25">
      <c r="A81" s="25"/>
      <c r="N81">
        <v>1</v>
      </c>
      <c r="O81" s="8">
        <v>44118</v>
      </c>
      <c r="P81" s="8">
        <f t="shared" si="10"/>
        <v>44105</v>
      </c>
    </row>
    <row r="82" spans="1:16" x14ac:dyDescent="0.25">
      <c r="A82" s="25"/>
      <c r="N82">
        <v>1</v>
      </c>
      <c r="O82" s="8">
        <v>44119</v>
      </c>
      <c r="P82" s="8">
        <f t="shared" si="10"/>
        <v>44105</v>
      </c>
    </row>
    <row r="83" spans="1:16" x14ac:dyDescent="0.25">
      <c r="A83" s="25"/>
      <c r="N83">
        <v>1</v>
      </c>
      <c r="O83" s="8">
        <v>44120</v>
      </c>
      <c r="P83" s="8">
        <f t="shared" si="10"/>
        <v>44105</v>
      </c>
    </row>
    <row r="84" spans="1:16" x14ac:dyDescent="0.25">
      <c r="A84" s="25"/>
      <c r="N84">
        <v>1</v>
      </c>
      <c r="O84" s="8">
        <v>44121</v>
      </c>
      <c r="P84" s="8">
        <f t="shared" si="10"/>
        <v>44105</v>
      </c>
    </row>
    <row r="85" spans="1:16" x14ac:dyDescent="0.25">
      <c r="A85" s="25"/>
      <c r="N85">
        <v>1</v>
      </c>
      <c r="O85" s="8">
        <v>44122</v>
      </c>
      <c r="P85" s="8">
        <f t="shared" si="10"/>
        <v>44105</v>
      </c>
    </row>
    <row r="86" spans="1:16" x14ac:dyDescent="0.25">
      <c r="A86" s="25"/>
      <c r="N86">
        <v>1</v>
      </c>
      <c r="O86" s="8">
        <v>44123</v>
      </c>
      <c r="P86" s="8">
        <f t="shared" si="10"/>
        <v>44105</v>
      </c>
    </row>
    <row r="87" spans="1:16" x14ac:dyDescent="0.25">
      <c r="A87" s="25"/>
      <c r="N87">
        <v>1</v>
      </c>
      <c r="O87" s="8">
        <v>44124</v>
      </c>
      <c r="P87" s="8">
        <f t="shared" si="10"/>
        <v>44105</v>
      </c>
    </row>
    <row r="88" spans="1:16" x14ac:dyDescent="0.25">
      <c r="A88" s="25"/>
      <c r="N88">
        <v>1</v>
      </c>
      <c r="O88" s="8">
        <v>44125</v>
      </c>
      <c r="P88" s="8">
        <f t="shared" si="10"/>
        <v>44105</v>
      </c>
    </row>
    <row r="89" spans="1:16" x14ac:dyDescent="0.25">
      <c r="A89" s="25"/>
      <c r="N89">
        <v>1</v>
      </c>
      <c r="O89" s="8">
        <v>44126</v>
      </c>
      <c r="P89" s="8">
        <f t="shared" si="10"/>
        <v>44105</v>
      </c>
    </row>
    <row r="90" spans="1:16" x14ac:dyDescent="0.25">
      <c r="A90" s="25"/>
      <c r="N90">
        <v>1</v>
      </c>
      <c r="O90" s="8">
        <v>44127</v>
      </c>
      <c r="P90" s="8">
        <f t="shared" si="10"/>
        <v>44105</v>
      </c>
    </row>
    <row r="91" spans="1:16" x14ac:dyDescent="0.25">
      <c r="A91" s="25"/>
      <c r="N91">
        <v>1</v>
      </c>
      <c r="O91" s="8">
        <v>44128</v>
      </c>
      <c r="P91" s="8">
        <f t="shared" si="10"/>
        <v>44105</v>
      </c>
    </row>
    <row r="92" spans="1:16" x14ac:dyDescent="0.25">
      <c r="A92" s="25"/>
      <c r="N92">
        <v>1</v>
      </c>
      <c r="O92" s="8">
        <v>44130</v>
      </c>
      <c r="P92" s="8">
        <f t="shared" si="10"/>
        <v>44105</v>
      </c>
    </row>
    <row r="93" spans="1:16" x14ac:dyDescent="0.25">
      <c r="A93" s="25"/>
      <c r="N93">
        <v>1</v>
      </c>
      <c r="O93" s="8">
        <v>44135</v>
      </c>
      <c r="P93" s="8">
        <f t="shared" si="10"/>
        <v>44105</v>
      </c>
    </row>
    <row r="94" spans="1:16" x14ac:dyDescent="0.25">
      <c r="A94" s="25"/>
      <c r="N94">
        <v>1</v>
      </c>
      <c r="O94" s="8">
        <v>44136</v>
      </c>
      <c r="P94" s="8">
        <f t="shared" si="10"/>
        <v>44136</v>
      </c>
    </row>
    <row r="95" spans="1:16" x14ac:dyDescent="0.25">
      <c r="A95" s="25"/>
      <c r="N95">
        <v>1</v>
      </c>
      <c r="O95" s="8">
        <v>44139</v>
      </c>
      <c r="P95" s="8">
        <f t="shared" si="10"/>
        <v>44136</v>
      </c>
    </row>
    <row r="96" spans="1:16" x14ac:dyDescent="0.25">
      <c r="A96" s="25"/>
      <c r="N96">
        <v>1</v>
      </c>
      <c r="O96" s="8">
        <v>44140</v>
      </c>
      <c r="P96" s="8">
        <f t="shared" si="10"/>
        <v>44136</v>
      </c>
    </row>
    <row r="97" spans="1:16" x14ac:dyDescent="0.25">
      <c r="A97" s="25"/>
      <c r="N97">
        <v>1</v>
      </c>
      <c r="O97" s="8">
        <v>44141</v>
      </c>
      <c r="P97" s="8">
        <f t="shared" si="10"/>
        <v>44136</v>
      </c>
    </row>
    <row r="98" spans="1:16" x14ac:dyDescent="0.25">
      <c r="A98" s="25"/>
      <c r="N98">
        <v>1</v>
      </c>
      <c r="O98" s="8">
        <v>44142</v>
      </c>
      <c r="P98" s="8">
        <f t="shared" si="10"/>
        <v>44136</v>
      </c>
    </row>
    <row r="99" spans="1:16" x14ac:dyDescent="0.25">
      <c r="A99" s="25"/>
      <c r="N99">
        <v>1</v>
      </c>
      <c r="O99" s="8">
        <v>44143</v>
      </c>
      <c r="P99" s="8">
        <f t="shared" si="10"/>
        <v>44136</v>
      </c>
    </row>
    <row r="100" spans="1:16" x14ac:dyDescent="0.25">
      <c r="A100" s="25"/>
      <c r="N100">
        <v>1</v>
      </c>
      <c r="O100" s="8">
        <v>44144</v>
      </c>
      <c r="P100" s="8">
        <f t="shared" si="10"/>
        <v>44136</v>
      </c>
    </row>
    <row r="101" spans="1:16" x14ac:dyDescent="0.25">
      <c r="A101" s="25"/>
      <c r="N101">
        <v>1</v>
      </c>
      <c r="O101" s="8">
        <v>44145</v>
      </c>
      <c r="P101" s="8">
        <f t="shared" si="10"/>
        <v>44136</v>
      </c>
    </row>
    <row r="102" spans="1:16" x14ac:dyDescent="0.25">
      <c r="A102" s="25"/>
      <c r="N102">
        <v>1</v>
      </c>
      <c r="O102" s="8">
        <v>44146</v>
      </c>
      <c r="P102" s="8">
        <f t="shared" si="10"/>
        <v>44136</v>
      </c>
    </row>
    <row r="103" spans="1:16" x14ac:dyDescent="0.25">
      <c r="A103" s="25"/>
      <c r="N103">
        <v>1</v>
      </c>
      <c r="O103" s="8">
        <v>44147</v>
      </c>
      <c r="P103" s="8">
        <f t="shared" si="10"/>
        <v>44136</v>
      </c>
    </row>
    <row r="104" spans="1:16" x14ac:dyDescent="0.25">
      <c r="A104" s="25"/>
      <c r="N104">
        <v>1</v>
      </c>
      <c r="O104" s="8">
        <v>44148</v>
      </c>
      <c r="P104" s="8">
        <f t="shared" si="10"/>
        <v>44136</v>
      </c>
    </row>
    <row r="105" spans="1:16" x14ac:dyDescent="0.25">
      <c r="A105" s="25"/>
      <c r="N105">
        <v>1</v>
      </c>
      <c r="O105" s="8">
        <v>44149</v>
      </c>
      <c r="P105" s="8">
        <f t="shared" si="10"/>
        <v>44136</v>
      </c>
    </row>
    <row r="106" spans="1:16" x14ac:dyDescent="0.25">
      <c r="A106" s="25"/>
      <c r="N106">
        <v>1</v>
      </c>
      <c r="O106" s="8">
        <v>44150</v>
      </c>
      <c r="P106" s="8">
        <f t="shared" si="10"/>
        <v>44136</v>
      </c>
    </row>
    <row r="107" spans="1:16" x14ac:dyDescent="0.25">
      <c r="A107" s="25"/>
      <c r="N107">
        <v>1</v>
      </c>
      <c r="O107" s="8">
        <v>44151</v>
      </c>
      <c r="P107" s="8">
        <f t="shared" si="10"/>
        <v>44136</v>
      </c>
    </row>
    <row r="108" spans="1:16" x14ac:dyDescent="0.25">
      <c r="A108" s="25"/>
      <c r="N108">
        <v>1</v>
      </c>
      <c r="O108" s="8">
        <v>44152</v>
      </c>
      <c r="P108" s="8">
        <f t="shared" si="10"/>
        <v>44136</v>
      </c>
    </row>
    <row r="109" spans="1:16" x14ac:dyDescent="0.25">
      <c r="A109" s="25"/>
      <c r="N109">
        <v>1</v>
      </c>
      <c r="O109" s="8">
        <v>44153</v>
      </c>
      <c r="P109" s="8">
        <f t="shared" si="10"/>
        <v>44136</v>
      </c>
    </row>
    <row r="110" spans="1:16" x14ac:dyDescent="0.25">
      <c r="A110" s="25"/>
      <c r="N110">
        <v>1</v>
      </c>
      <c r="O110" s="8">
        <v>44155</v>
      </c>
      <c r="P110" s="8">
        <f t="shared" si="10"/>
        <v>44136</v>
      </c>
    </row>
    <row r="111" spans="1:16" x14ac:dyDescent="0.25">
      <c r="A111" s="25"/>
      <c r="N111">
        <v>1</v>
      </c>
      <c r="O111" s="8">
        <v>44156</v>
      </c>
      <c r="P111" s="8">
        <f t="shared" si="10"/>
        <v>44136</v>
      </c>
    </row>
    <row r="112" spans="1:16" x14ac:dyDescent="0.25">
      <c r="A112" s="25"/>
      <c r="N112">
        <v>1</v>
      </c>
      <c r="O112" s="8">
        <v>44158</v>
      </c>
      <c r="P112" s="8">
        <f t="shared" si="10"/>
        <v>44136</v>
      </c>
    </row>
    <row r="113" spans="1:16" x14ac:dyDescent="0.25">
      <c r="A113" s="25"/>
      <c r="N113">
        <v>1</v>
      </c>
      <c r="O113" s="8">
        <v>44159</v>
      </c>
      <c r="P113" s="8">
        <f t="shared" si="10"/>
        <v>44136</v>
      </c>
    </row>
    <row r="114" spans="1:16" x14ac:dyDescent="0.25">
      <c r="A114" s="25"/>
      <c r="N114">
        <v>1</v>
      </c>
      <c r="O114" s="8">
        <v>44161</v>
      </c>
      <c r="P114" s="8">
        <f t="shared" si="10"/>
        <v>44136</v>
      </c>
    </row>
    <row r="115" spans="1:16" x14ac:dyDescent="0.25">
      <c r="A115" s="25"/>
      <c r="N115">
        <v>1</v>
      </c>
      <c r="O115" s="8">
        <v>44162</v>
      </c>
      <c r="P115" s="8">
        <f t="shared" si="10"/>
        <v>44136</v>
      </c>
    </row>
    <row r="116" spans="1:16" x14ac:dyDescent="0.25">
      <c r="A116" s="25"/>
      <c r="N116">
        <v>1</v>
      </c>
      <c r="O116" s="8">
        <v>44163</v>
      </c>
      <c r="P116" s="8">
        <f t="shared" si="10"/>
        <v>44136</v>
      </c>
    </row>
    <row r="117" spans="1:16" x14ac:dyDescent="0.25">
      <c r="A117" s="25"/>
      <c r="N117">
        <v>1</v>
      </c>
      <c r="O117" s="8">
        <v>44164</v>
      </c>
      <c r="P117" s="8">
        <f t="shared" si="10"/>
        <v>44136</v>
      </c>
    </row>
    <row r="118" spans="1:16" x14ac:dyDescent="0.25">
      <c r="A118" s="25"/>
      <c r="N118">
        <v>1</v>
      </c>
      <c r="O118" s="8">
        <v>44165</v>
      </c>
      <c r="P118" s="8">
        <f t="shared" si="10"/>
        <v>44136</v>
      </c>
    </row>
    <row r="119" spans="1:16" x14ac:dyDescent="0.25">
      <c r="A119" s="25"/>
      <c r="N119">
        <v>1</v>
      </c>
      <c r="O119" s="8">
        <v>44168</v>
      </c>
      <c r="P119" s="8">
        <f t="shared" si="10"/>
        <v>44166</v>
      </c>
    </row>
    <row r="120" spans="1:16" x14ac:dyDescent="0.25">
      <c r="A120" s="25"/>
      <c r="N120">
        <v>1</v>
      </c>
      <c r="O120" s="8">
        <v>44169</v>
      </c>
      <c r="P120" s="8">
        <f t="shared" si="10"/>
        <v>44166</v>
      </c>
    </row>
    <row r="121" spans="1:16" x14ac:dyDescent="0.25">
      <c r="A121" s="25"/>
      <c r="N121">
        <v>1</v>
      </c>
      <c r="O121" s="8">
        <v>44170</v>
      </c>
      <c r="P121" s="8">
        <f t="shared" si="10"/>
        <v>44166</v>
      </c>
    </row>
    <row r="122" spans="1:16" x14ac:dyDescent="0.25">
      <c r="A122" s="25"/>
      <c r="N122">
        <v>1</v>
      </c>
      <c r="O122" s="8">
        <v>44100</v>
      </c>
      <c r="P122" s="8">
        <f t="shared" si="10"/>
        <v>44075</v>
      </c>
    </row>
    <row r="123" spans="1:16" x14ac:dyDescent="0.25">
      <c r="A123" s="25"/>
      <c r="N123">
        <v>1</v>
      </c>
      <c r="O123" s="8">
        <v>44131</v>
      </c>
      <c r="P123" s="8">
        <f t="shared" si="10"/>
        <v>44105</v>
      </c>
    </row>
    <row r="124" spans="1:16" x14ac:dyDescent="0.25">
      <c r="A124" s="25"/>
      <c r="N124">
        <v>1</v>
      </c>
      <c r="O124" s="8">
        <v>44132</v>
      </c>
      <c r="P124" s="8">
        <f t="shared" si="10"/>
        <v>44105</v>
      </c>
    </row>
    <row r="125" spans="1:16" x14ac:dyDescent="0.25">
      <c r="A125" s="25"/>
      <c r="N125">
        <v>1</v>
      </c>
      <c r="O125" s="8">
        <v>44133</v>
      </c>
      <c r="P125" s="8">
        <f t="shared" si="10"/>
        <v>44105</v>
      </c>
    </row>
    <row r="126" spans="1:16" x14ac:dyDescent="0.25">
      <c r="A126" s="25"/>
      <c r="N126">
        <v>1</v>
      </c>
      <c r="O126" s="8">
        <v>44137</v>
      </c>
      <c r="P126" s="8">
        <f t="shared" si="10"/>
        <v>44136</v>
      </c>
    </row>
    <row r="127" spans="1:16" x14ac:dyDescent="0.25">
      <c r="A127" s="25"/>
      <c r="N127">
        <v>1</v>
      </c>
      <c r="O127" s="8">
        <v>44138</v>
      </c>
      <c r="P127" s="8">
        <f t="shared" si="10"/>
        <v>44136</v>
      </c>
    </row>
    <row r="128" spans="1:16" x14ac:dyDescent="0.25">
      <c r="A128" s="25"/>
      <c r="N128">
        <v>1</v>
      </c>
      <c r="O128" s="8">
        <v>44081</v>
      </c>
      <c r="P128" s="8">
        <f t="shared" si="10"/>
        <v>44075</v>
      </c>
    </row>
    <row r="129" spans="1:16" x14ac:dyDescent="0.25">
      <c r="A129" s="25"/>
      <c r="N129">
        <v>2</v>
      </c>
      <c r="O129" s="8">
        <v>44182</v>
      </c>
      <c r="P129" s="8">
        <f t="shared" si="10"/>
        <v>44166</v>
      </c>
    </row>
    <row r="130" spans="1:16" x14ac:dyDescent="0.25">
      <c r="A130" s="25"/>
      <c r="N130">
        <v>2</v>
      </c>
      <c r="O130" s="8">
        <v>44183</v>
      </c>
      <c r="P130" s="8">
        <f t="shared" si="10"/>
        <v>44166</v>
      </c>
    </row>
    <row r="131" spans="1:16" x14ac:dyDescent="0.25">
      <c r="A131" s="25"/>
      <c r="N131">
        <v>2</v>
      </c>
      <c r="O131" s="8">
        <v>44184</v>
      </c>
      <c r="P131" s="8">
        <f t="shared" ref="P131:P194" si="11">DATE(YEAR(O131),MONTH(O131),1)</f>
        <v>44166</v>
      </c>
    </row>
    <row r="132" spans="1:16" x14ac:dyDescent="0.25">
      <c r="A132" s="25"/>
      <c r="N132">
        <v>2</v>
      </c>
      <c r="O132" s="8">
        <v>44185</v>
      </c>
      <c r="P132" s="8">
        <f t="shared" si="11"/>
        <v>44166</v>
      </c>
    </row>
    <row r="133" spans="1:16" x14ac:dyDescent="0.25">
      <c r="A133" s="25"/>
      <c r="N133">
        <v>2</v>
      </c>
      <c r="O133" s="8">
        <v>44186</v>
      </c>
      <c r="P133" s="8">
        <f t="shared" si="11"/>
        <v>44166</v>
      </c>
    </row>
    <row r="134" spans="1:16" x14ac:dyDescent="0.25">
      <c r="A134" s="25"/>
      <c r="N134">
        <v>2</v>
      </c>
      <c r="O134" s="8">
        <v>44017</v>
      </c>
      <c r="P134" s="8">
        <f t="shared" si="11"/>
        <v>44013</v>
      </c>
    </row>
    <row r="135" spans="1:16" x14ac:dyDescent="0.25">
      <c r="A135" s="25"/>
      <c r="N135">
        <v>2</v>
      </c>
      <c r="O135" s="8">
        <v>44018</v>
      </c>
      <c r="P135" s="8">
        <f t="shared" si="11"/>
        <v>44013</v>
      </c>
    </row>
    <row r="136" spans="1:16" x14ac:dyDescent="0.25">
      <c r="A136" s="25"/>
      <c r="N136">
        <v>2</v>
      </c>
      <c r="O136" s="8">
        <v>44019</v>
      </c>
      <c r="P136" s="8">
        <f t="shared" si="11"/>
        <v>44013</v>
      </c>
    </row>
    <row r="137" spans="1:16" x14ac:dyDescent="0.25">
      <c r="A137" s="25"/>
      <c r="N137">
        <v>2</v>
      </c>
      <c r="O137" s="8">
        <v>44020</v>
      </c>
      <c r="P137" s="8">
        <f t="shared" si="11"/>
        <v>44013</v>
      </c>
    </row>
    <row r="138" spans="1:16" x14ac:dyDescent="0.25">
      <c r="A138" s="25"/>
      <c r="N138">
        <v>2</v>
      </c>
      <c r="O138" s="8">
        <v>44021</v>
      </c>
      <c r="P138" s="8">
        <f t="shared" si="11"/>
        <v>44013</v>
      </c>
    </row>
    <row r="139" spans="1:16" x14ac:dyDescent="0.25">
      <c r="A139" s="25"/>
      <c r="N139">
        <v>2</v>
      </c>
      <c r="O139" s="8">
        <v>44022</v>
      </c>
      <c r="P139" s="8">
        <f t="shared" si="11"/>
        <v>44013</v>
      </c>
    </row>
    <row r="140" spans="1:16" x14ac:dyDescent="0.25">
      <c r="A140" s="25"/>
      <c r="N140">
        <v>2</v>
      </c>
      <c r="O140" s="8">
        <v>44023</v>
      </c>
      <c r="P140" s="8">
        <f t="shared" si="11"/>
        <v>44013</v>
      </c>
    </row>
    <row r="141" spans="1:16" x14ac:dyDescent="0.25">
      <c r="A141" s="25"/>
      <c r="N141">
        <v>2</v>
      </c>
      <c r="O141" s="8">
        <v>44024</v>
      </c>
      <c r="P141" s="8">
        <f t="shared" si="11"/>
        <v>44013</v>
      </c>
    </row>
    <row r="142" spans="1:16" x14ac:dyDescent="0.25">
      <c r="A142" s="25"/>
      <c r="N142">
        <v>2</v>
      </c>
      <c r="O142" s="8">
        <v>44025</v>
      </c>
      <c r="P142" s="8">
        <f t="shared" si="11"/>
        <v>44013</v>
      </c>
    </row>
    <row r="143" spans="1:16" x14ac:dyDescent="0.25">
      <c r="A143" s="25"/>
      <c r="N143">
        <v>2</v>
      </c>
      <c r="O143" s="8">
        <v>44026</v>
      </c>
      <c r="P143" s="8">
        <f t="shared" si="11"/>
        <v>44013</v>
      </c>
    </row>
    <row r="144" spans="1:16" x14ac:dyDescent="0.25">
      <c r="A144" s="25"/>
      <c r="N144">
        <v>2</v>
      </c>
      <c r="O144" s="8">
        <v>44029</v>
      </c>
      <c r="P144" s="8">
        <f t="shared" si="11"/>
        <v>44013</v>
      </c>
    </row>
    <row r="145" spans="1:16" x14ac:dyDescent="0.25">
      <c r="A145" s="25"/>
      <c r="N145">
        <v>2</v>
      </c>
      <c r="O145" s="8">
        <v>44030</v>
      </c>
      <c r="P145" s="8">
        <f t="shared" si="11"/>
        <v>44013</v>
      </c>
    </row>
    <row r="146" spans="1:16" x14ac:dyDescent="0.25">
      <c r="A146" s="25"/>
      <c r="N146">
        <v>2</v>
      </c>
      <c r="O146" s="8">
        <v>44031</v>
      </c>
      <c r="P146" s="8">
        <f t="shared" si="11"/>
        <v>44013</v>
      </c>
    </row>
    <row r="147" spans="1:16" x14ac:dyDescent="0.25">
      <c r="A147" s="25"/>
      <c r="N147">
        <v>2</v>
      </c>
      <c r="O147" s="8">
        <v>44032</v>
      </c>
      <c r="P147" s="8">
        <f t="shared" si="11"/>
        <v>44013</v>
      </c>
    </row>
    <row r="148" spans="1:16" x14ac:dyDescent="0.25">
      <c r="A148" s="25"/>
      <c r="N148">
        <v>2</v>
      </c>
      <c r="O148" s="8">
        <v>44033</v>
      </c>
      <c r="P148" s="8">
        <f t="shared" si="11"/>
        <v>44013</v>
      </c>
    </row>
    <row r="149" spans="1:16" x14ac:dyDescent="0.25">
      <c r="A149" s="25"/>
      <c r="N149">
        <v>2</v>
      </c>
      <c r="O149" s="8">
        <v>44034</v>
      </c>
      <c r="P149" s="8">
        <f t="shared" si="11"/>
        <v>44013</v>
      </c>
    </row>
    <row r="150" spans="1:16" x14ac:dyDescent="0.25">
      <c r="A150" s="25"/>
      <c r="N150">
        <v>2</v>
      </c>
      <c r="O150" s="8">
        <v>44036</v>
      </c>
      <c r="P150" s="8">
        <f t="shared" si="11"/>
        <v>44013</v>
      </c>
    </row>
    <row r="151" spans="1:16" x14ac:dyDescent="0.25">
      <c r="A151" s="25"/>
      <c r="N151">
        <v>2</v>
      </c>
      <c r="O151" s="8">
        <v>44037</v>
      </c>
      <c r="P151" s="8">
        <f t="shared" si="11"/>
        <v>44013</v>
      </c>
    </row>
    <row r="152" spans="1:16" x14ac:dyDescent="0.25">
      <c r="A152" s="25"/>
      <c r="N152">
        <v>2</v>
      </c>
      <c r="O152" s="8">
        <v>44038</v>
      </c>
      <c r="P152" s="8">
        <f t="shared" si="11"/>
        <v>44013</v>
      </c>
    </row>
    <row r="153" spans="1:16" x14ac:dyDescent="0.25">
      <c r="A153" s="25"/>
      <c r="N153">
        <v>2</v>
      </c>
      <c r="O153" s="8">
        <v>44039</v>
      </c>
      <c r="P153" s="8">
        <f t="shared" si="11"/>
        <v>44013</v>
      </c>
    </row>
    <row r="154" spans="1:16" x14ac:dyDescent="0.25">
      <c r="A154" s="25"/>
      <c r="N154">
        <v>2</v>
      </c>
      <c r="O154" s="8">
        <v>44040</v>
      </c>
      <c r="P154" s="8">
        <f t="shared" si="11"/>
        <v>44013</v>
      </c>
    </row>
    <row r="155" spans="1:16" x14ac:dyDescent="0.25">
      <c r="A155" s="25"/>
      <c r="N155">
        <v>2</v>
      </c>
      <c r="O155" s="8">
        <v>44041</v>
      </c>
      <c r="P155" s="8">
        <f t="shared" si="11"/>
        <v>44013</v>
      </c>
    </row>
    <row r="156" spans="1:16" x14ac:dyDescent="0.25">
      <c r="A156" s="25"/>
      <c r="N156">
        <v>2</v>
      </c>
      <c r="O156" s="8">
        <v>44044</v>
      </c>
      <c r="P156" s="8">
        <f t="shared" si="11"/>
        <v>44044</v>
      </c>
    </row>
    <row r="157" spans="1:16" x14ac:dyDescent="0.25">
      <c r="A157" s="25"/>
      <c r="N157">
        <v>2</v>
      </c>
      <c r="O157" s="8">
        <v>44045</v>
      </c>
      <c r="P157" s="8">
        <f t="shared" si="11"/>
        <v>44044</v>
      </c>
    </row>
    <row r="158" spans="1:16" x14ac:dyDescent="0.25">
      <c r="A158" s="25"/>
      <c r="N158">
        <v>2</v>
      </c>
      <c r="O158" s="8">
        <v>44081</v>
      </c>
      <c r="P158" s="8">
        <f t="shared" si="11"/>
        <v>44075</v>
      </c>
    </row>
    <row r="159" spans="1:16" x14ac:dyDescent="0.25">
      <c r="A159" s="25"/>
      <c r="N159">
        <v>2</v>
      </c>
      <c r="O159" s="8">
        <v>44082</v>
      </c>
      <c r="P159" s="8">
        <f t="shared" si="11"/>
        <v>44075</v>
      </c>
    </row>
    <row r="160" spans="1:16" x14ac:dyDescent="0.25">
      <c r="A160" s="25"/>
      <c r="N160">
        <v>2</v>
      </c>
      <c r="O160" s="8">
        <v>44083</v>
      </c>
      <c r="P160" s="8">
        <f t="shared" si="11"/>
        <v>44075</v>
      </c>
    </row>
    <row r="161" spans="1:16" x14ac:dyDescent="0.25">
      <c r="A161" s="25"/>
      <c r="N161">
        <v>2</v>
      </c>
      <c r="O161" s="8">
        <v>44084</v>
      </c>
      <c r="P161" s="8">
        <f t="shared" si="11"/>
        <v>44075</v>
      </c>
    </row>
    <row r="162" spans="1:16" x14ac:dyDescent="0.25">
      <c r="A162" s="25"/>
      <c r="N162">
        <v>2</v>
      </c>
      <c r="O162" s="8">
        <v>44094</v>
      </c>
      <c r="P162" s="8">
        <f t="shared" si="11"/>
        <v>44075</v>
      </c>
    </row>
    <row r="163" spans="1:16" x14ac:dyDescent="0.25">
      <c r="A163" s="25"/>
      <c r="N163">
        <v>2</v>
      </c>
      <c r="O163" s="8">
        <v>44096</v>
      </c>
      <c r="P163" s="8">
        <f t="shared" si="11"/>
        <v>44075</v>
      </c>
    </row>
    <row r="164" spans="1:16" x14ac:dyDescent="0.25">
      <c r="A164" s="25"/>
      <c r="N164">
        <v>2</v>
      </c>
      <c r="O164" s="8">
        <v>44097</v>
      </c>
      <c r="P164" s="8">
        <f t="shared" si="11"/>
        <v>44075</v>
      </c>
    </row>
    <row r="165" spans="1:16" x14ac:dyDescent="0.25">
      <c r="A165" s="25"/>
      <c r="N165">
        <v>2</v>
      </c>
      <c r="O165" s="8">
        <v>44098</v>
      </c>
      <c r="P165" s="8">
        <f t="shared" si="11"/>
        <v>44075</v>
      </c>
    </row>
    <row r="166" spans="1:16" x14ac:dyDescent="0.25">
      <c r="A166" s="25"/>
      <c r="N166">
        <v>2</v>
      </c>
      <c r="O166" s="8">
        <v>44100</v>
      </c>
      <c r="P166" s="8">
        <f t="shared" si="11"/>
        <v>44075</v>
      </c>
    </row>
    <row r="167" spans="1:16" x14ac:dyDescent="0.25">
      <c r="A167" s="25"/>
      <c r="N167">
        <v>2</v>
      </c>
      <c r="O167" s="8">
        <v>44101</v>
      </c>
      <c r="P167" s="8">
        <f t="shared" si="11"/>
        <v>44075</v>
      </c>
    </row>
    <row r="168" spans="1:16" x14ac:dyDescent="0.25">
      <c r="A168" s="25"/>
      <c r="N168">
        <v>2</v>
      </c>
      <c r="O168" s="8">
        <v>44103</v>
      </c>
      <c r="P168" s="8">
        <f t="shared" si="11"/>
        <v>44075</v>
      </c>
    </row>
    <row r="169" spans="1:16" x14ac:dyDescent="0.25">
      <c r="A169" s="25"/>
      <c r="N169">
        <v>2</v>
      </c>
      <c r="O169" s="8">
        <v>44104</v>
      </c>
      <c r="P169" s="8">
        <f t="shared" si="11"/>
        <v>44075</v>
      </c>
    </row>
    <row r="170" spans="1:16" x14ac:dyDescent="0.25">
      <c r="A170" s="25"/>
      <c r="N170">
        <v>2</v>
      </c>
      <c r="O170" s="8">
        <v>44105</v>
      </c>
      <c r="P170" s="8">
        <f t="shared" si="11"/>
        <v>44105</v>
      </c>
    </row>
    <row r="171" spans="1:16" x14ac:dyDescent="0.25">
      <c r="A171" s="25"/>
      <c r="N171">
        <v>2</v>
      </c>
      <c r="O171" s="8">
        <v>44106</v>
      </c>
      <c r="P171" s="8">
        <f t="shared" si="11"/>
        <v>44105</v>
      </c>
    </row>
    <row r="172" spans="1:16" x14ac:dyDescent="0.25">
      <c r="A172" s="25"/>
      <c r="N172">
        <v>2</v>
      </c>
      <c r="O172" s="8">
        <v>44107</v>
      </c>
      <c r="P172" s="8">
        <f t="shared" si="11"/>
        <v>44105</v>
      </c>
    </row>
    <row r="173" spans="1:16" x14ac:dyDescent="0.25">
      <c r="A173" s="25"/>
      <c r="N173">
        <v>2</v>
      </c>
      <c r="O173" s="8">
        <v>44109</v>
      </c>
      <c r="P173" s="8">
        <f t="shared" si="11"/>
        <v>44105</v>
      </c>
    </row>
    <row r="174" spans="1:16" x14ac:dyDescent="0.25">
      <c r="A174" s="25"/>
      <c r="N174">
        <v>2</v>
      </c>
      <c r="O174" s="8">
        <v>44110</v>
      </c>
      <c r="P174" s="8">
        <f t="shared" si="11"/>
        <v>44105</v>
      </c>
    </row>
    <row r="175" spans="1:16" x14ac:dyDescent="0.25">
      <c r="A175" s="25"/>
      <c r="N175">
        <v>2</v>
      </c>
      <c r="O175" s="8">
        <v>44112</v>
      </c>
      <c r="P175" s="8">
        <f t="shared" si="11"/>
        <v>44105</v>
      </c>
    </row>
    <row r="176" spans="1:16" x14ac:dyDescent="0.25">
      <c r="A176" s="25"/>
      <c r="N176">
        <v>2</v>
      </c>
      <c r="O176" s="8">
        <v>44113</v>
      </c>
      <c r="P176" s="8">
        <f t="shared" si="11"/>
        <v>44105</v>
      </c>
    </row>
    <row r="177" spans="1:16" x14ac:dyDescent="0.25">
      <c r="A177" s="25"/>
      <c r="N177">
        <v>2</v>
      </c>
      <c r="O177" s="8">
        <v>44114</v>
      </c>
      <c r="P177" s="8">
        <f t="shared" si="11"/>
        <v>44105</v>
      </c>
    </row>
    <row r="178" spans="1:16" x14ac:dyDescent="0.25">
      <c r="A178" s="25"/>
      <c r="N178">
        <v>2</v>
      </c>
      <c r="O178" s="8">
        <v>44115</v>
      </c>
      <c r="P178" s="8">
        <f t="shared" si="11"/>
        <v>44105</v>
      </c>
    </row>
    <row r="179" spans="1:16" x14ac:dyDescent="0.25">
      <c r="A179" s="25"/>
      <c r="N179">
        <v>2</v>
      </c>
      <c r="O179" s="8">
        <v>44116</v>
      </c>
      <c r="P179" s="8">
        <f t="shared" si="11"/>
        <v>44105</v>
      </c>
    </row>
    <row r="180" spans="1:16" x14ac:dyDescent="0.25">
      <c r="A180" s="25"/>
      <c r="N180">
        <v>2</v>
      </c>
      <c r="O180" s="8">
        <v>44117</v>
      </c>
      <c r="P180" s="8">
        <f t="shared" si="11"/>
        <v>44105</v>
      </c>
    </row>
    <row r="181" spans="1:16" x14ac:dyDescent="0.25">
      <c r="A181" s="25"/>
      <c r="N181">
        <v>2</v>
      </c>
      <c r="O181" s="8">
        <v>44118</v>
      </c>
      <c r="P181" s="8">
        <f t="shared" si="11"/>
        <v>44105</v>
      </c>
    </row>
    <row r="182" spans="1:16" x14ac:dyDescent="0.25">
      <c r="A182" s="25"/>
      <c r="N182">
        <v>2</v>
      </c>
      <c r="O182" s="8">
        <v>44122</v>
      </c>
      <c r="P182" s="8">
        <f t="shared" si="11"/>
        <v>44105</v>
      </c>
    </row>
    <row r="183" spans="1:16" x14ac:dyDescent="0.25">
      <c r="A183" s="25"/>
      <c r="N183">
        <v>2</v>
      </c>
      <c r="O183" s="8">
        <v>44123</v>
      </c>
      <c r="P183" s="8">
        <f t="shared" si="11"/>
        <v>44105</v>
      </c>
    </row>
    <row r="184" spans="1:16" x14ac:dyDescent="0.25">
      <c r="A184" s="25"/>
      <c r="N184">
        <v>2</v>
      </c>
      <c r="O184" s="8">
        <v>44124</v>
      </c>
      <c r="P184" s="8">
        <f t="shared" si="11"/>
        <v>44105</v>
      </c>
    </row>
    <row r="185" spans="1:16" x14ac:dyDescent="0.25">
      <c r="A185" s="25"/>
      <c r="N185">
        <v>2</v>
      </c>
      <c r="O185" s="8">
        <v>44125</v>
      </c>
      <c r="P185" s="8">
        <f t="shared" si="11"/>
        <v>44105</v>
      </c>
    </row>
    <row r="186" spans="1:16" x14ac:dyDescent="0.25">
      <c r="A186" s="25"/>
      <c r="N186">
        <v>2</v>
      </c>
      <c r="O186" s="8">
        <v>44127</v>
      </c>
      <c r="P186" s="8">
        <f t="shared" si="11"/>
        <v>44105</v>
      </c>
    </row>
    <row r="187" spans="1:16" x14ac:dyDescent="0.25">
      <c r="A187" s="25"/>
      <c r="N187">
        <v>2</v>
      </c>
      <c r="O187" s="8">
        <v>44128</v>
      </c>
      <c r="P187" s="8">
        <f t="shared" si="11"/>
        <v>44105</v>
      </c>
    </row>
    <row r="188" spans="1:16" x14ac:dyDescent="0.25">
      <c r="A188" s="25"/>
      <c r="N188">
        <v>2</v>
      </c>
      <c r="O188" s="8">
        <v>44129</v>
      </c>
      <c r="P188" s="8">
        <f t="shared" si="11"/>
        <v>44105</v>
      </c>
    </row>
    <row r="189" spans="1:16" x14ac:dyDescent="0.25">
      <c r="A189" s="25"/>
      <c r="N189">
        <v>2</v>
      </c>
      <c r="O189" s="8">
        <v>44077</v>
      </c>
      <c r="P189" s="8">
        <f t="shared" si="11"/>
        <v>44075</v>
      </c>
    </row>
    <row r="190" spans="1:16" x14ac:dyDescent="0.25">
      <c r="A190" s="25"/>
      <c r="N190">
        <v>2</v>
      </c>
      <c r="O190" s="8">
        <v>44080</v>
      </c>
      <c r="P190" s="8">
        <f t="shared" si="11"/>
        <v>44075</v>
      </c>
    </row>
    <row r="191" spans="1:16" x14ac:dyDescent="0.25">
      <c r="A191" s="25"/>
      <c r="N191">
        <v>2</v>
      </c>
      <c r="O191" s="8">
        <v>44085</v>
      </c>
      <c r="P191" s="8">
        <f t="shared" si="11"/>
        <v>44075</v>
      </c>
    </row>
    <row r="192" spans="1:16" x14ac:dyDescent="0.25">
      <c r="A192" s="25"/>
      <c r="N192">
        <v>2</v>
      </c>
      <c r="O192" s="8">
        <v>44086</v>
      </c>
      <c r="P192" s="8">
        <f t="shared" si="11"/>
        <v>44075</v>
      </c>
    </row>
    <row r="193" spans="1:16" x14ac:dyDescent="0.25">
      <c r="A193" s="25"/>
      <c r="N193">
        <v>2</v>
      </c>
      <c r="O193" s="8">
        <v>44087</v>
      </c>
      <c r="P193" s="8">
        <f t="shared" si="11"/>
        <v>44075</v>
      </c>
    </row>
    <row r="194" spans="1:16" x14ac:dyDescent="0.25">
      <c r="A194" s="25"/>
      <c r="N194">
        <v>2</v>
      </c>
      <c r="O194" s="8">
        <v>44088</v>
      </c>
      <c r="P194" s="8">
        <f t="shared" si="11"/>
        <v>44075</v>
      </c>
    </row>
    <row r="195" spans="1:16" x14ac:dyDescent="0.25">
      <c r="A195" s="25"/>
      <c r="N195">
        <v>2</v>
      </c>
      <c r="O195" s="8">
        <v>44099</v>
      </c>
      <c r="P195" s="8">
        <f t="shared" ref="P195:P258" si="12">DATE(YEAR(O195),MONTH(O195),1)</f>
        <v>44075</v>
      </c>
    </row>
    <row r="196" spans="1:16" x14ac:dyDescent="0.25">
      <c r="A196" s="25"/>
      <c r="N196">
        <v>2</v>
      </c>
      <c r="O196" s="8">
        <v>44145</v>
      </c>
      <c r="P196" s="8">
        <f t="shared" si="12"/>
        <v>44136</v>
      </c>
    </row>
    <row r="197" spans="1:16" x14ac:dyDescent="0.25">
      <c r="A197" s="25"/>
      <c r="N197">
        <v>2</v>
      </c>
      <c r="O197" s="8">
        <v>44147</v>
      </c>
      <c r="P197" s="8">
        <f t="shared" si="12"/>
        <v>44136</v>
      </c>
    </row>
    <row r="198" spans="1:16" x14ac:dyDescent="0.25">
      <c r="A198" s="25"/>
      <c r="N198">
        <v>2</v>
      </c>
      <c r="O198" s="8">
        <v>44148</v>
      </c>
      <c r="P198" s="8">
        <f t="shared" si="12"/>
        <v>44136</v>
      </c>
    </row>
    <row r="199" spans="1:16" x14ac:dyDescent="0.25">
      <c r="A199" s="25"/>
      <c r="N199">
        <v>2</v>
      </c>
      <c r="O199" s="8">
        <v>44149</v>
      </c>
      <c r="P199" s="8">
        <f t="shared" si="12"/>
        <v>44136</v>
      </c>
    </row>
    <row r="200" spans="1:16" x14ac:dyDescent="0.25">
      <c r="A200" s="25"/>
      <c r="N200">
        <v>2</v>
      </c>
      <c r="O200" s="8">
        <v>44150</v>
      </c>
      <c r="P200" s="8">
        <f t="shared" si="12"/>
        <v>44136</v>
      </c>
    </row>
    <row r="201" spans="1:16" x14ac:dyDescent="0.25">
      <c r="A201" s="25"/>
      <c r="N201">
        <v>2</v>
      </c>
      <c r="O201" s="8">
        <v>44204</v>
      </c>
      <c r="P201" s="8">
        <f t="shared" si="12"/>
        <v>44197</v>
      </c>
    </row>
    <row r="202" spans="1:16" x14ac:dyDescent="0.25">
      <c r="A202" s="25"/>
      <c r="N202">
        <v>2</v>
      </c>
      <c r="O202" s="8">
        <v>44126</v>
      </c>
      <c r="P202" s="8">
        <f t="shared" si="12"/>
        <v>44105</v>
      </c>
    </row>
    <row r="203" spans="1:16" x14ac:dyDescent="0.25">
      <c r="A203" s="25"/>
      <c r="N203">
        <v>2</v>
      </c>
      <c r="O203" s="8">
        <v>44131</v>
      </c>
      <c r="P203" s="8">
        <f t="shared" si="12"/>
        <v>44105</v>
      </c>
    </row>
    <row r="204" spans="1:16" x14ac:dyDescent="0.25">
      <c r="A204" s="25"/>
      <c r="N204">
        <v>2</v>
      </c>
      <c r="O204" s="8">
        <v>44132</v>
      </c>
      <c r="P204" s="8">
        <f t="shared" si="12"/>
        <v>44105</v>
      </c>
    </row>
    <row r="205" spans="1:16" x14ac:dyDescent="0.25">
      <c r="A205" s="25"/>
      <c r="N205">
        <v>2</v>
      </c>
      <c r="O205" s="8">
        <v>44133</v>
      </c>
      <c r="P205" s="8">
        <f t="shared" si="12"/>
        <v>44105</v>
      </c>
    </row>
    <row r="206" spans="1:16" x14ac:dyDescent="0.25">
      <c r="A206" s="25"/>
      <c r="N206">
        <v>2</v>
      </c>
      <c r="O206" s="8">
        <v>44134</v>
      </c>
      <c r="P206" s="8">
        <f t="shared" si="12"/>
        <v>44105</v>
      </c>
    </row>
    <row r="207" spans="1:16" x14ac:dyDescent="0.25">
      <c r="A207" s="25"/>
      <c r="N207">
        <v>2</v>
      </c>
      <c r="O207" s="8">
        <v>44135</v>
      </c>
      <c r="P207" s="8">
        <f t="shared" si="12"/>
        <v>44105</v>
      </c>
    </row>
    <row r="208" spans="1:16" x14ac:dyDescent="0.25">
      <c r="A208" s="25"/>
      <c r="N208">
        <v>2</v>
      </c>
      <c r="O208" s="8">
        <v>44136</v>
      </c>
      <c r="P208" s="8">
        <f t="shared" si="12"/>
        <v>44136</v>
      </c>
    </row>
    <row r="209" spans="1:16" x14ac:dyDescent="0.25">
      <c r="A209" s="25"/>
      <c r="N209">
        <v>2</v>
      </c>
      <c r="O209" s="8">
        <v>44137</v>
      </c>
      <c r="P209" s="8">
        <f t="shared" si="12"/>
        <v>44136</v>
      </c>
    </row>
    <row r="210" spans="1:16" x14ac:dyDescent="0.25">
      <c r="A210" s="25"/>
      <c r="N210">
        <v>2</v>
      </c>
      <c r="O210" s="8">
        <v>44138</v>
      </c>
      <c r="P210" s="8">
        <f t="shared" si="12"/>
        <v>44136</v>
      </c>
    </row>
    <row r="211" spans="1:16" x14ac:dyDescent="0.25">
      <c r="A211" s="25"/>
      <c r="N211">
        <v>2</v>
      </c>
      <c r="O211" s="8">
        <v>44139</v>
      </c>
      <c r="P211" s="8">
        <f t="shared" si="12"/>
        <v>44136</v>
      </c>
    </row>
    <row r="212" spans="1:16" x14ac:dyDescent="0.25">
      <c r="A212" s="25"/>
      <c r="N212">
        <v>2</v>
      </c>
      <c r="O212" s="8">
        <v>44140</v>
      </c>
      <c r="P212" s="8">
        <f t="shared" si="12"/>
        <v>44136</v>
      </c>
    </row>
    <row r="213" spans="1:16" x14ac:dyDescent="0.25">
      <c r="A213" s="25"/>
      <c r="N213">
        <v>2</v>
      </c>
      <c r="O213" s="8">
        <v>44141</v>
      </c>
      <c r="P213" s="8">
        <f t="shared" si="12"/>
        <v>44136</v>
      </c>
    </row>
    <row r="214" spans="1:16" x14ac:dyDescent="0.25">
      <c r="A214" s="25"/>
      <c r="N214">
        <v>2</v>
      </c>
      <c r="O214" s="8">
        <v>44142</v>
      </c>
      <c r="P214" s="8">
        <f t="shared" si="12"/>
        <v>44136</v>
      </c>
    </row>
    <row r="215" spans="1:16" x14ac:dyDescent="0.25">
      <c r="A215" s="25"/>
      <c r="N215">
        <v>2</v>
      </c>
      <c r="O215" s="8">
        <v>44214</v>
      </c>
      <c r="P215" s="8">
        <f t="shared" si="12"/>
        <v>44197</v>
      </c>
    </row>
    <row r="216" spans="1:16" x14ac:dyDescent="0.25">
      <c r="A216" s="25"/>
      <c r="N216">
        <v>2</v>
      </c>
      <c r="O216" s="8">
        <v>44174</v>
      </c>
      <c r="P216" s="8">
        <f t="shared" si="12"/>
        <v>44166</v>
      </c>
    </row>
    <row r="217" spans="1:16" x14ac:dyDescent="0.25">
      <c r="A217" s="25"/>
      <c r="N217">
        <v>2</v>
      </c>
      <c r="O217" s="8">
        <v>44175</v>
      </c>
      <c r="P217" s="8">
        <f t="shared" si="12"/>
        <v>44166</v>
      </c>
    </row>
    <row r="218" spans="1:16" x14ac:dyDescent="0.25">
      <c r="A218" s="25"/>
      <c r="N218">
        <v>2</v>
      </c>
      <c r="O218" s="8">
        <v>44176</v>
      </c>
      <c r="P218" s="8">
        <f t="shared" si="12"/>
        <v>44166</v>
      </c>
    </row>
    <row r="219" spans="1:16" x14ac:dyDescent="0.25">
      <c r="A219" s="25"/>
      <c r="N219">
        <v>2</v>
      </c>
      <c r="O219" s="8">
        <v>44177</v>
      </c>
      <c r="P219" s="8">
        <f t="shared" si="12"/>
        <v>44166</v>
      </c>
    </row>
    <row r="220" spans="1:16" x14ac:dyDescent="0.25">
      <c r="A220" s="25"/>
      <c r="N220">
        <v>2</v>
      </c>
      <c r="O220" s="8">
        <v>44178</v>
      </c>
      <c r="P220" s="8">
        <f t="shared" si="12"/>
        <v>44166</v>
      </c>
    </row>
    <row r="221" spans="1:16" x14ac:dyDescent="0.25">
      <c r="A221" s="25"/>
      <c r="N221">
        <v>2</v>
      </c>
      <c r="O221" s="8">
        <v>44179</v>
      </c>
      <c r="P221" s="8">
        <f t="shared" si="12"/>
        <v>44166</v>
      </c>
    </row>
    <row r="222" spans="1:16" x14ac:dyDescent="0.25">
      <c r="A222" s="25"/>
      <c r="N222">
        <v>2</v>
      </c>
      <c r="O222" s="8">
        <v>44180</v>
      </c>
      <c r="P222" s="8">
        <f t="shared" si="12"/>
        <v>44166</v>
      </c>
    </row>
    <row r="223" spans="1:16" x14ac:dyDescent="0.25">
      <c r="A223" s="25"/>
      <c r="N223">
        <v>2</v>
      </c>
      <c r="O223" s="8">
        <v>44181</v>
      </c>
      <c r="P223" s="8">
        <f t="shared" si="12"/>
        <v>44166</v>
      </c>
    </row>
    <row r="224" spans="1:16" x14ac:dyDescent="0.25">
      <c r="A224" s="25"/>
      <c r="N224">
        <v>2</v>
      </c>
      <c r="O224" s="8">
        <v>44205</v>
      </c>
      <c r="P224" s="8">
        <f t="shared" si="12"/>
        <v>44197</v>
      </c>
    </row>
    <row r="225" spans="1:16" x14ac:dyDescent="0.25">
      <c r="A225" s="25"/>
      <c r="N225">
        <v>2</v>
      </c>
      <c r="O225" s="8">
        <v>44156</v>
      </c>
      <c r="P225" s="8">
        <f t="shared" si="12"/>
        <v>44136</v>
      </c>
    </row>
    <row r="226" spans="1:16" x14ac:dyDescent="0.25">
      <c r="A226" s="25"/>
      <c r="N226">
        <v>2</v>
      </c>
      <c r="O226" s="8">
        <v>44157</v>
      </c>
      <c r="P226" s="8">
        <f t="shared" si="12"/>
        <v>44136</v>
      </c>
    </row>
    <row r="227" spans="1:16" x14ac:dyDescent="0.25">
      <c r="A227" s="25"/>
      <c r="N227">
        <v>2</v>
      </c>
      <c r="O227" s="8">
        <v>44158</v>
      </c>
      <c r="P227" s="8">
        <f t="shared" si="12"/>
        <v>44136</v>
      </c>
    </row>
    <row r="228" spans="1:16" x14ac:dyDescent="0.25">
      <c r="A228" s="25"/>
      <c r="N228">
        <v>2</v>
      </c>
      <c r="O228" s="8">
        <v>44159</v>
      </c>
      <c r="P228" s="8">
        <f t="shared" si="12"/>
        <v>44136</v>
      </c>
    </row>
    <row r="229" spans="1:16" x14ac:dyDescent="0.25">
      <c r="A229" s="25"/>
      <c r="N229">
        <v>2</v>
      </c>
      <c r="O229" s="8">
        <v>44160</v>
      </c>
      <c r="P229" s="8">
        <f t="shared" si="12"/>
        <v>44136</v>
      </c>
    </row>
    <row r="230" spans="1:16" x14ac:dyDescent="0.25">
      <c r="A230" s="25"/>
      <c r="N230">
        <v>2</v>
      </c>
      <c r="O230" s="8">
        <v>44161</v>
      </c>
      <c r="P230" s="8">
        <f t="shared" si="12"/>
        <v>44136</v>
      </c>
    </row>
    <row r="231" spans="1:16" x14ac:dyDescent="0.25">
      <c r="A231" s="25"/>
      <c r="N231">
        <v>2</v>
      </c>
      <c r="O231" s="8">
        <v>44162</v>
      </c>
      <c r="P231" s="8">
        <f t="shared" si="12"/>
        <v>44136</v>
      </c>
    </row>
    <row r="232" spans="1:16" x14ac:dyDescent="0.25">
      <c r="A232" s="25"/>
      <c r="N232">
        <v>2</v>
      </c>
      <c r="O232" s="8">
        <v>44163</v>
      </c>
      <c r="P232" s="8">
        <f t="shared" si="12"/>
        <v>44136</v>
      </c>
    </row>
    <row r="233" spans="1:16" x14ac:dyDescent="0.25">
      <c r="A233" s="25"/>
      <c r="N233">
        <v>2</v>
      </c>
      <c r="O233" s="8">
        <v>44164</v>
      </c>
      <c r="P233" s="8">
        <f t="shared" si="12"/>
        <v>44136</v>
      </c>
    </row>
    <row r="234" spans="1:16" x14ac:dyDescent="0.25">
      <c r="A234" s="25"/>
      <c r="N234">
        <v>2</v>
      </c>
      <c r="O234" s="8">
        <v>44165</v>
      </c>
      <c r="P234" s="8">
        <f t="shared" si="12"/>
        <v>44136</v>
      </c>
    </row>
    <row r="235" spans="1:16" x14ac:dyDescent="0.25">
      <c r="A235" s="25"/>
      <c r="N235">
        <v>2</v>
      </c>
      <c r="O235" s="8">
        <v>44166</v>
      </c>
      <c r="P235" s="8">
        <f t="shared" si="12"/>
        <v>44166</v>
      </c>
    </row>
    <row r="236" spans="1:16" x14ac:dyDescent="0.25">
      <c r="A236" s="25"/>
      <c r="N236">
        <v>2</v>
      </c>
      <c r="O236" s="8">
        <v>44167</v>
      </c>
      <c r="P236" s="8">
        <f t="shared" si="12"/>
        <v>44166</v>
      </c>
    </row>
    <row r="237" spans="1:16" x14ac:dyDescent="0.25">
      <c r="A237" s="25"/>
      <c r="N237">
        <v>2</v>
      </c>
      <c r="O237" s="8">
        <v>44169</v>
      </c>
      <c r="P237" s="8">
        <f t="shared" si="12"/>
        <v>44166</v>
      </c>
    </row>
    <row r="238" spans="1:16" x14ac:dyDescent="0.25">
      <c r="A238" s="25"/>
      <c r="N238">
        <v>2</v>
      </c>
      <c r="O238" s="8">
        <v>44170</v>
      </c>
      <c r="P238" s="8">
        <f t="shared" si="12"/>
        <v>44166</v>
      </c>
    </row>
    <row r="239" spans="1:16" x14ac:dyDescent="0.25">
      <c r="A239" s="25"/>
      <c r="N239">
        <v>2</v>
      </c>
      <c r="O239" s="8">
        <v>44171</v>
      </c>
      <c r="P239" s="8">
        <f t="shared" si="12"/>
        <v>44166</v>
      </c>
    </row>
    <row r="240" spans="1:16" x14ac:dyDescent="0.25">
      <c r="A240" s="25"/>
      <c r="N240">
        <v>2</v>
      </c>
      <c r="O240" s="8">
        <v>44172</v>
      </c>
      <c r="P240" s="8">
        <f t="shared" si="12"/>
        <v>44166</v>
      </c>
    </row>
    <row r="241" spans="1:16" x14ac:dyDescent="0.25">
      <c r="A241" s="25"/>
      <c r="N241">
        <v>2</v>
      </c>
      <c r="O241" s="8">
        <v>44173</v>
      </c>
      <c r="P241" s="8">
        <f t="shared" si="12"/>
        <v>44166</v>
      </c>
    </row>
    <row r="242" spans="1:16" x14ac:dyDescent="0.25">
      <c r="A242" s="25"/>
      <c r="N242">
        <v>2</v>
      </c>
      <c r="O242" s="8">
        <v>44102</v>
      </c>
      <c r="P242" s="8">
        <f t="shared" si="12"/>
        <v>44075</v>
      </c>
    </row>
    <row r="243" spans="1:16" x14ac:dyDescent="0.25">
      <c r="A243" s="25"/>
      <c r="N243">
        <v>2</v>
      </c>
      <c r="O243" s="8">
        <v>44108</v>
      </c>
      <c r="P243" s="8">
        <f t="shared" si="12"/>
        <v>44105</v>
      </c>
    </row>
    <row r="244" spans="1:16" x14ac:dyDescent="0.25">
      <c r="A244" s="25"/>
      <c r="N244">
        <v>2</v>
      </c>
      <c r="O244" s="8">
        <v>44111</v>
      </c>
      <c r="P244" s="8">
        <f t="shared" si="12"/>
        <v>44105</v>
      </c>
    </row>
    <row r="245" spans="1:16" x14ac:dyDescent="0.25">
      <c r="A245" s="25"/>
      <c r="N245">
        <v>2</v>
      </c>
      <c r="O245" s="8">
        <v>44146</v>
      </c>
      <c r="P245" s="8">
        <f t="shared" si="12"/>
        <v>44136</v>
      </c>
    </row>
    <row r="246" spans="1:16" x14ac:dyDescent="0.25">
      <c r="A246" s="25"/>
      <c r="N246">
        <v>2</v>
      </c>
      <c r="O246" s="8">
        <v>44211</v>
      </c>
      <c r="P246" s="8">
        <f t="shared" si="12"/>
        <v>44197</v>
      </c>
    </row>
    <row r="247" spans="1:16" x14ac:dyDescent="0.25">
      <c r="A247" s="25"/>
      <c r="N247">
        <v>2</v>
      </c>
      <c r="O247" s="8">
        <v>44212</v>
      </c>
      <c r="P247" s="8">
        <f t="shared" si="12"/>
        <v>44197</v>
      </c>
    </row>
    <row r="248" spans="1:16" x14ac:dyDescent="0.25">
      <c r="A248" s="25"/>
      <c r="N248">
        <v>2</v>
      </c>
      <c r="O248" s="8">
        <v>44059</v>
      </c>
      <c r="P248" s="8">
        <f t="shared" si="12"/>
        <v>44044</v>
      </c>
    </row>
    <row r="249" spans="1:16" x14ac:dyDescent="0.25">
      <c r="A249" s="25"/>
      <c r="N249">
        <v>2</v>
      </c>
      <c r="O249" s="8">
        <v>44060</v>
      </c>
      <c r="P249" s="8">
        <f t="shared" si="12"/>
        <v>44044</v>
      </c>
    </row>
    <row r="250" spans="1:16" x14ac:dyDescent="0.25">
      <c r="A250" s="25"/>
      <c r="N250">
        <v>2</v>
      </c>
      <c r="O250" s="8">
        <v>44068</v>
      </c>
      <c r="P250" s="8">
        <f t="shared" si="12"/>
        <v>44044</v>
      </c>
    </row>
    <row r="251" spans="1:16" x14ac:dyDescent="0.25">
      <c r="A251" s="25"/>
      <c r="N251">
        <v>2</v>
      </c>
      <c r="O251" s="8">
        <v>44069</v>
      </c>
      <c r="P251" s="8">
        <f t="shared" si="12"/>
        <v>44044</v>
      </c>
    </row>
    <row r="252" spans="1:16" x14ac:dyDescent="0.25">
      <c r="A252" s="25"/>
      <c r="N252">
        <v>2</v>
      </c>
      <c r="O252" s="8">
        <v>44070</v>
      </c>
      <c r="P252" s="8">
        <f t="shared" si="12"/>
        <v>44044</v>
      </c>
    </row>
    <row r="253" spans="1:16" x14ac:dyDescent="0.25">
      <c r="A253" s="25"/>
      <c r="N253">
        <v>2</v>
      </c>
      <c r="O253" s="8">
        <v>44071</v>
      </c>
      <c r="P253" s="8">
        <f t="shared" si="12"/>
        <v>44044</v>
      </c>
    </row>
    <row r="254" spans="1:16" x14ac:dyDescent="0.25">
      <c r="A254" s="25"/>
      <c r="N254">
        <v>2</v>
      </c>
      <c r="O254" s="8">
        <v>44072</v>
      </c>
      <c r="P254" s="8">
        <f t="shared" si="12"/>
        <v>44044</v>
      </c>
    </row>
    <row r="255" spans="1:16" x14ac:dyDescent="0.25">
      <c r="A255" s="25"/>
      <c r="N255">
        <v>2</v>
      </c>
      <c r="O255" s="8">
        <v>44073</v>
      </c>
      <c r="P255" s="8">
        <f t="shared" si="12"/>
        <v>44044</v>
      </c>
    </row>
    <row r="256" spans="1:16" x14ac:dyDescent="0.25">
      <c r="A256" s="25"/>
      <c r="N256">
        <v>2</v>
      </c>
      <c r="O256" s="8">
        <v>44074</v>
      </c>
      <c r="P256" s="8">
        <f t="shared" si="12"/>
        <v>44044</v>
      </c>
    </row>
    <row r="257" spans="1:16" x14ac:dyDescent="0.25">
      <c r="A257" s="25"/>
      <c r="N257">
        <v>2</v>
      </c>
      <c r="O257" s="8">
        <v>44075</v>
      </c>
      <c r="P257" s="8">
        <f t="shared" si="12"/>
        <v>44075</v>
      </c>
    </row>
    <row r="258" spans="1:16" x14ac:dyDescent="0.25">
      <c r="A258" s="25"/>
      <c r="N258">
        <v>2</v>
      </c>
      <c r="O258" s="8">
        <v>44076</v>
      </c>
      <c r="P258" s="8">
        <f t="shared" si="12"/>
        <v>44075</v>
      </c>
    </row>
    <row r="259" spans="1:16" x14ac:dyDescent="0.25">
      <c r="A259" s="25"/>
      <c r="N259">
        <v>2</v>
      </c>
      <c r="O259" s="8">
        <v>44203</v>
      </c>
      <c r="P259" s="8">
        <f t="shared" ref="P259:P322" si="13">DATE(YEAR(O259),MONTH(O259),1)</f>
        <v>44197</v>
      </c>
    </row>
    <row r="260" spans="1:16" x14ac:dyDescent="0.25">
      <c r="A260" s="25"/>
      <c r="N260">
        <v>2</v>
      </c>
      <c r="O260" s="8">
        <v>44207</v>
      </c>
      <c r="P260" s="8">
        <f t="shared" si="13"/>
        <v>44197</v>
      </c>
    </row>
    <row r="261" spans="1:16" x14ac:dyDescent="0.25">
      <c r="A261" s="25"/>
      <c r="N261">
        <v>3</v>
      </c>
      <c r="O261" s="8">
        <v>44252</v>
      </c>
      <c r="P261" s="8">
        <f t="shared" si="13"/>
        <v>44228</v>
      </c>
    </row>
    <row r="262" spans="1:16" x14ac:dyDescent="0.25">
      <c r="A262" s="25"/>
      <c r="N262">
        <v>3</v>
      </c>
      <c r="O262" s="8">
        <v>44253</v>
      </c>
      <c r="P262" s="8">
        <f t="shared" si="13"/>
        <v>44228</v>
      </c>
    </row>
    <row r="263" spans="1:16" x14ac:dyDescent="0.25">
      <c r="A263" s="25"/>
      <c r="N263">
        <v>3</v>
      </c>
      <c r="O263" s="8">
        <v>44254</v>
      </c>
      <c r="P263" s="8">
        <f t="shared" si="13"/>
        <v>44228</v>
      </c>
    </row>
    <row r="264" spans="1:16" x14ac:dyDescent="0.25">
      <c r="A264" s="25"/>
      <c r="N264">
        <v>3</v>
      </c>
      <c r="O264" s="8">
        <v>44255</v>
      </c>
      <c r="P264" s="8">
        <f t="shared" si="13"/>
        <v>44228</v>
      </c>
    </row>
    <row r="265" spans="1:16" x14ac:dyDescent="0.25">
      <c r="A265" s="25"/>
      <c r="N265">
        <v>3</v>
      </c>
      <c r="O265" s="8">
        <v>44258</v>
      </c>
      <c r="P265" s="8">
        <f t="shared" si="13"/>
        <v>44256</v>
      </c>
    </row>
    <row r="266" spans="1:16" x14ac:dyDescent="0.25">
      <c r="A266" s="25"/>
      <c r="N266">
        <v>3</v>
      </c>
      <c r="O266" s="8">
        <v>44259</v>
      </c>
      <c r="P266" s="8">
        <f t="shared" si="13"/>
        <v>44256</v>
      </c>
    </row>
    <row r="267" spans="1:16" x14ac:dyDescent="0.25">
      <c r="A267" s="25"/>
      <c r="N267">
        <v>3</v>
      </c>
      <c r="O267" s="8">
        <v>44261</v>
      </c>
      <c r="P267" s="8">
        <f t="shared" si="13"/>
        <v>44256</v>
      </c>
    </row>
    <row r="268" spans="1:16" x14ac:dyDescent="0.25">
      <c r="A268" s="25"/>
      <c r="N268">
        <v>3</v>
      </c>
      <c r="O268" s="8">
        <v>44306</v>
      </c>
      <c r="P268" s="8">
        <f t="shared" si="13"/>
        <v>44287</v>
      </c>
    </row>
    <row r="269" spans="1:16" x14ac:dyDescent="0.25">
      <c r="A269" s="25"/>
      <c r="N269">
        <v>3</v>
      </c>
      <c r="O269" s="8">
        <v>44307</v>
      </c>
      <c r="P269" s="8">
        <f t="shared" si="13"/>
        <v>44287</v>
      </c>
    </row>
    <row r="270" spans="1:16" x14ac:dyDescent="0.25">
      <c r="A270" s="25"/>
      <c r="N270">
        <v>3</v>
      </c>
      <c r="O270" s="8">
        <v>44308</v>
      </c>
      <c r="P270" s="8">
        <f t="shared" si="13"/>
        <v>44287</v>
      </c>
    </row>
    <row r="271" spans="1:16" x14ac:dyDescent="0.25">
      <c r="A271" s="25"/>
      <c r="N271">
        <v>3</v>
      </c>
      <c r="O271" s="8">
        <v>44080</v>
      </c>
      <c r="P271" s="8">
        <f t="shared" si="13"/>
        <v>44075</v>
      </c>
    </row>
    <row r="272" spans="1:16" x14ac:dyDescent="0.25">
      <c r="A272" s="25"/>
      <c r="N272">
        <v>3</v>
      </c>
      <c r="O272" s="8">
        <v>44081</v>
      </c>
      <c r="P272" s="8">
        <f t="shared" si="13"/>
        <v>44075</v>
      </c>
    </row>
    <row r="273" spans="1:16" x14ac:dyDescent="0.25">
      <c r="A273" s="25"/>
      <c r="N273">
        <v>3</v>
      </c>
      <c r="O273" s="8">
        <v>44082</v>
      </c>
      <c r="P273" s="8">
        <f t="shared" si="13"/>
        <v>44075</v>
      </c>
    </row>
    <row r="274" spans="1:16" x14ac:dyDescent="0.25">
      <c r="A274" s="25"/>
      <c r="N274">
        <v>3</v>
      </c>
      <c r="O274" s="8">
        <v>44083</v>
      </c>
      <c r="P274" s="8">
        <f t="shared" si="13"/>
        <v>44075</v>
      </c>
    </row>
    <row r="275" spans="1:16" x14ac:dyDescent="0.25">
      <c r="A275" s="25"/>
      <c r="N275">
        <v>3</v>
      </c>
      <c r="O275" s="8">
        <v>44084</v>
      </c>
      <c r="P275" s="8">
        <f t="shared" si="13"/>
        <v>44075</v>
      </c>
    </row>
    <row r="276" spans="1:16" x14ac:dyDescent="0.25">
      <c r="A276" s="25"/>
      <c r="N276">
        <v>3</v>
      </c>
      <c r="O276" s="8">
        <v>44086</v>
      </c>
      <c r="P276" s="8">
        <f t="shared" si="13"/>
        <v>44075</v>
      </c>
    </row>
    <row r="277" spans="1:16" x14ac:dyDescent="0.25">
      <c r="A277" s="25"/>
      <c r="N277">
        <v>3</v>
      </c>
      <c r="O277" s="8">
        <v>44087</v>
      </c>
      <c r="P277" s="8">
        <f t="shared" si="13"/>
        <v>44075</v>
      </c>
    </row>
    <row r="278" spans="1:16" x14ac:dyDescent="0.25">
      <c r="A278" s="25"/>
      <c r="N278">
        <v>3</v>
      </c>
      <c r="O278" s="8">
        <v>44094</v>
      </c>
      <c r="P278" s="8">
        <f t="shared" si="13"/>
        <v>44075</v>
      </c>
    </row>
    <row r="279" spans="1:16" x14ac:dyDescent="0.25">
      <c r="A279" s="25"/>
      <c r="N279">
        <v>3</v>
      </c>
      <c r="O279" s="8">
        <v>44095</v>
      </c>
      <c r="P279" s="8">
        <f t="shared" si="13"/>
        <v>44075</v>
      </c>
    </row>
    <row r="280" spans="1:16" x14ac:dyDescent="0.25">
      <c r="A280" s="25"/>
      <c r="N280">
        <v>3</v>
      </c>
      <c r="O280" s="8">
        <v>44096</v>
      </c>
      <c r="P280" s="8">
        <f t="shared" si="13"/>
        <v>44075</v>
      </c>
    </row>
    <row r="281" spans="1:16" x14ac:dyDescent="0.25">
      <c r="A281" s="25"/>
      <c r="N281">
        <v>3</v>
      </c>
      <c r="O281" s="8">
        <v>44097</v>
      </c>
      <c r="P281" s="8">
        <f t="shared" si="13"/>
        <v>44075</v>
      </c>
    </row>
    <row r="282" spans="1:16" x14ac:dyDescent="0.25">
      <c r="A282" s="25"/>
      <c r="N282">
        <v>3</v>
      </c>
      <c r="O282" s="8">
        <v>44098</v>
      </c>
      <c r="P282" s="8">
        <f t="shared" si="13"/>
        <v>44075</v>
      </c>
    </row>
    <row r="283" spans="1:16" x14ac:dyDescent="0.25">
      <c r="A283" s="25"/>
      <c r="N283">
        <v>3</v>
      </c>
      <c r="O283" s="8">
        <v>44099</v>
      </c>
      <c r="P283" s="8">
        <f t="shared" si="13"/>
        <v>44075</v>
      </c>
    </row>
    <row r="284" spans="1:16" x14ac:dyDescent="0.25">
      <c r="A284" s="25"/>
      <c r="N284">
        <v>3</v>
      </c>
      <c r="O284" s="8">
        <v>44100</v>
      </c>
      <c r="P284" s="8">
        <f t="shared" si="13"/>
        <v>44075</v>
      </c>
    </row>
    <row r="285" spans="1:16" x14ac:dyDescent="0.25">
      <c r="A285" s="25"/>
      <c r="N285">
        <v>3</v>
      </c>
      <c r="O285" s="8">
        <v>44101</v>
      </c>
      <c r="P285" s="8">
        <f t="shared" si="13"/>
        <v>44075</v>
      </c>
    </row>
    <row r="286" spans="1:16" x14ac:dyDescent="0.25">
      <c r="A286" s="25"/>
      <c r="N286">
        <v>3</v>
      </c>
      <c r="O286" s="8">
        <v>44104</v>
      </c>
      <c r="P286" s="8">
        <f t="shared" si="13"/>
        <v>44075</v>
      </c>
    </row>
    <row r="287" spans="1:16" x14ac:dyDescent="0.25">
      <c r="A287" s="25"/>
      <c r="N287">
        <v>3</v>
      </c>
      <c r="O287" s="8">
        <v>44105</v>
      </c>
      <c r="P287" s="8">
        <f t="shared" si="13"/>
        <v>44105</v>
      </c>
    </row>
    <row r="288" spans="1:16" x14ac:dyDescent="0.25">
      <c r="A288" s="25"/>
      <c r="N288">
        <v>3</v>
      </c>
      <c r="O288" s="8">
        <v>44107</v>
      </c>
      <c r="P288" s="8">
        <f t="shared" si="13"/>
        <v>44105</v>
      </c>
    </row>
    <row r="289" spans="1:16" x14ac:dyDescent="0.25">
      <c r="A289" s="25"/>
      <c r="N289">
        <v>3</v>
      </c>
      <c r="O289" s="8">
        <v>44131</v>
      </c>
      <c r="P289" s="8">
        <f t="shared" si="13"/>
        <v>44105</v>
      </c>
    </row>
    <row r="290" spans="1:16" x14ac:dyDescent="0.25">
      <c r="A290" s="25"/>
      <c r="N290">
        <v>3</v>
      </c>
      <c r="O290" s="8">
        <v>44132</v>
      </c>
      <c r="P290" s="8">
        <f t="shared" si="13"/>
        <v>44105</v>
      </c>
    </row>
    <row r="291" spans="1:16" x14ac:dyDescent="0.25">
      <c r="A291" s="25"/>
      <c r="N291">
        <v>3</v>
      </c>
      <c r="O291" s="8">
        <v>44133</v>
      </c>
      <c r="P291" s="8">
        <f t="shared" si="13"/>
        <v>44105</v>
      </c>
    </row>
    <row r="292" spans="1:16" x14ac:dyDescent="0.25">
      <c r="A292" s="25"/>
      <c r="N292">
        <v>3</v>
      </c>
      <c r="O292" s="8">
        <v>44134</v>
      </c>
      <c r="P292" s="8">
        <f t="shared" si="13"/>
        <v>44105</v>
      </c>
    </row>
    <row r="293" spans="1:16" x14ac:dyDescent="0.25">
      <c r="A293" s="25"/>
      <c r="N293">
        <v>3</v>
      </c>
      <c r="O293" s="8">
        <v>44135</v>
      </c>
      <c r="P293" s="8">
        <f t="shared" si="13"/>
        <v>44105</v>
      </c>
    </row>
    <row r="294" spans="1:16" x14ac:dyDescent="0.25">
      <c r="A294" s="25"/>
      <c r="N294">
        <v>3</v>
      </c>
      <c r="O294" s="8">
        <v>44136</v>
      </c>
      <c r="P294" s="8">
        <f t="shared" si="13"/>
        <v>44136</v>
      </c>
    </row>
    <row r="295" spans="1:16" x14ac:dyDescent="0.25">
      <c r="A295" s="25"/>
      <c r="N295">
        <v>3</v>
      </c>
      <c r="O295" s="8">
        <v>44137</v>
      </c>
      <c r="P295" s="8">
        <f t="shared" si="13"/>
        <v>44136</v>
      </c>
    </row>
    <row r="296" spans="1:16" x14ac:dyDescent="0.25">
      <c r="A296" s="25"/>
      <c r="N296">
        <v>3</v>
      </c>
      <c r="O296" s="8">
        <v>44138</v>
      </c>
      <c r="P296" s="8">
        <f t="shared" si="13"/>
        <v>44136</v>
      </c>
    </row>
    <row r="297" spans="1:16" x14ac:dyDescent="0.25">
      <c r="A297" s="25"/>
      <c r="N297">
        <v>3</v>
      </c>
      <c r="O297" s="8">
        <v>44145</v>
      </c>
      <c r="P297" s="8">
        <f t="shared" si="13"/>
        <v>44136</v>
      </c>
    </row>
    <row r="298" spans="1:16" x14ac:dyDescent="0.25">
      <c r="A298" s="25"/>
      <c r="N298">
        <v>3</v>
      </c>
      <c r="O298" s="8">
        <v>44146</v>
      </c>
      <c r="P298" s="8">
        <f t="shared" si="13"/>
        <v>44136</v>
      </c>
    </row>
    <row r="299" spans="1:16" x14ac:dyDescent="0.25">
      <c r="A299" s="25"/>
      <c r="N299">
        <v>3</v>
      </c>
      <c r="O299" s="8">
        <v>44147</v>
      </c>
      <c r="P299" s="8">
        <f t="shared" si="13"/>
        <v>44136</v>
      </c>
    </row>
    <row r="300" spans="1:16" x14ac:dyDescent="0.25">
      <c r="A300" s="25"/>
      <c r="N300">
        <v>3</v>
      </c>
      <c r="O300" s="8">
        <v>44148</v>
      </c>
      <c r="P300" s="8">
        <f t="shared" si="13"/>
        <v>44136</v>
      </c>
    </row>
    <row r="301" spans="1:16" x14ac:dyDescent="0.25">
      <c r="A301" s="25"/>
      <c r="N301">
        <v>3</v>
      </c>
      <c r="O301" s="8">
        <v>44149</v>
      </c>
      <c r="P301" s="8">
        <f t="shared" si="13"/>
        <v>44136</v>
      </c>
    </row>
    <row r="302" spans="1:16" x14ac:dyDescent="0.25">
      <c r="A302" s="25"/>
      <c r="N302">
        <v>3</v>
      </c>
      <c r="O302" s="8">
        <v>44150</v>
      </c>
      <c r="P302" s="8">
        <f t="shared" si="13"/>
        <v>44136</v>
      </c>
    </row>
    <row r="303" spans="1:16" x14ac:dyDescent="0.25">
      <c r="A303" s="25"/>
      <c r="N303">
        <v>3</v>
      </c>
      <c r="O303" s="8">
        <v>44151</v>
      </c>
      <c r="P303" s="8">
        <f t="shared" si="13"/>
        <v>44136</v>
      </c>
    </row>
    <row r="304" spans="1:16" x14ac:dyDescent="0.25">
      <c r="A304" s="25"/>
      <c r="N304">
        <v>3</v>
      </c>
      <c r="O304" s="8">
        <v>44152</v>
      </c>
      <c r="P304" s="8">
        <f t="shared" si="13"/>
        <v>44136</v>
      </c>
    </row>
    <row r="305" spans="1:16" x14ac:dyDescent="0.25">
      <c r="A305" s="25"/>
      <c r="N305">
        <v>3</v>
      </c>
      <c r="O305" s="8">
        <v>44153</v>
      </c>
      <c r="P305" s="8">
        <f t="shared" si="13"/>
        <v>44136</v>
      </c>
    </row>
    <row r="306" spans="1:16" x14ac:dyDescent="0.25">
      <c r="A306" s="25"/>
      <c r="N306">
        <v>3</v>
      </c>
      <c r="O306" s="8">
        <v>44154</v>
      </c>
      <c r="P306" s="8">
        <f t="shared" si="13"/>
        <v>44136</v>
      </c>
    </row>
    <row r="307" spans="1:16" x14ac:dyDescent="0.25">
      <c r="A307" s="25"/>
      <c r="N307">
        <v>3</v>
      </c>
      <c r="O307" s="8">
        <v>44155</v>
      </c>
      <c r="P307" s="8">
        <f t="shared" si="13"/>
        <v>44136</v>
      </c>
    </row>
    <row r="308" spans="1:16" x14ac:dyDescent="0.25">
      <c r="A308" s="25"/>
      <c r="N308">
        <v>3</v>
      </c>
      <c r="O308" s="8">
        <v>44156</v>
      </c>
      <c r="P308" s="8">
        <f t="shared" si="13"/>
        <v>44136</v>
      </c>
    </row>
    <row r="309" spans="1:16" x14ac:dyDescent="0.25">
      <c r="A309" s="25"/>
      <c r="N309">
        <v>3</v>
      </c>
      <c r="O309" s="8">
        <v>44251</v>
      </c>
      <c r="P309" s="8">
        <f t="shared" si="13"/>
        <v>44228</v>
      </c>
    </row>
    <row r="310" spans="1:16" x14ac:dyDescent="0.25">
      <c r="A310" s="25"/>
      <c r="N310">
        <v>3</v>
      </c>
      <c r="O310" s="8">
        <v>44256</v>
      </c>
      <c r="P310" s="8">
        <f t="shared" si="13"/>
        <v>44256</v>
      </c>
    </row>
    <row r="311" spans="1:16" x14ac:dyDescent="0.25">
      <c r="A311" s="25"/>
      <c r="N311">
        <v>3</v>
      </c>
      <c r="O311" s="8">
        <v>44257</v>
      </c>
      <c r="P311" s="8">
        <f t="shared" si="13"/>
        <v>44256</v>
      </c>
    </row>
    <row r="312" spans="1:16" x14ac:dyDescent="0.25">
      <c r="A312" s="25"/>
      <c r="N312">
        <v>3</v>
      </c>
      <c r="O312" s="8">
        <v>44260</v>
      </c>
      <c r="P312" s="8">
        <f t="shared" si="13"/>
        <v>44256</v>
      </c>
    </row>
    <row r="313" spans="1:16" x14ac:dyDescent="0.25">
      <c r="A313" s="25"/>
      <c r="N313">
        <v>3</v>
      </c>
      <c r="O313" s="8">
        <v>44262</v>
      </c>
      <c r="P313" s="8">
        <f t="shared" si="13"/>
        <v>44256</v>
      </c>
    </row>
    <row r="314" spans="1:16" x14ac:dyDescent="0.25">
      <c r="A314" s="25"/>
      <c r="N314">
        <v>3</v>
      </c>
      <c r="O314" s="8">
        <v>44263</v>
      </c>
      <c r="P314" s="8">
        <f t="shared" si="13"/>
        <v>44256</v>
      </c>
    </row>
    <row r="315" spans="1:16" x14ac:dyDescent="0.25">
      <c r="A315" s="25"/>
      <c r="N315">
        <v>3</v>
      </c>
      <c r="O315" s="8">
        <v>44264</v>
      </c>
      <c r="P315" s="8">
        <f t="shared" si="13"/>
        <v>44256</v>
      </c>
    </row>
    <row r="316" spans="1:16" x14ac:dyDescent="0.25">
      <c r="A316" s="25"/>
      <c r="N316">
        <v>3</v>
      </c>
      <c r="O316" s="8">
        <v>44265</v>
      </c>
      <c r="P316" s="8">
        <f t="shared" si="13"/>
        <v>44256</v>
      </c>
    </row>
    <row r="317" spans="1:16" x14ac:dyDescent="0.25">
      <c r="A317" s="25"/>
      <c r="N317">
        <v>3</v>
      </c>
      <c r="O317" s="8">
        <v>44269</v>
      </c>
      <c r="P317" s="8">
        <f t="shared" si="13"/>
        <v>44256</v>
      </c>
    </row>
    <row r="318" spans="1:16" x14ac:dyDescent="0.25">
      <c r="A318" s="25"/>
      <c r="N318">
        <v>3</v>
      </c>
      <c r="O318" s="8">
        <v>44277</v>
      </c>
      <c r="P318" s="8">
        <f t="shared" si="13"/>
        <v>44256</v>
      </c>
    </row>
    <row r="319" spans="1:16" x14ac:dyDescent="0.25">
      <c r="A319" s="25"/>
      <c r="N319">
        <v>3</v>
      </c>
      <c r="O319" s="8">
        <v>44302</v>
      </c>
      <c r="P319" s="8">
        <f t="shared" si="13"/>
        <v>44287</v>
      </c>
    </row>
    <row r="320" spans="1:16" x14ac:dyDescent="0.25">
      <c r="A320" s="25"/>
      <c r="N320">
        <v>3</v>
      </c>
      <c r="O320" s="8">
        <v>44303</v>
      </c>
      <c r="P320" s="8">
        <f t="shared" si="13"/>
        <v>44287</v>
      </c>
    </row>
    <row r="321" spans="1:16" x14ac:dyDescent="0.25">
      <c r="A321" s="25"/>
      <c r="N321">
        <v>3</v>
      </c>
      <c r="O321" s="8">
        <v>44304</v>
      </c>
      <c r="P321" s="8">
        <f t="shared" si="13"/>
        <v>44287</v>
      </c>
    </row>
    <row r="322" spans="1:16" x14ac:dyDescent="0.25">
      <c r="A322" s="25"/>
      <c r="N322">
        <v>3</v>
      </c>
      <c r="O322" s="8">
        <v>44305</v>
      </c>
      <c r="P322" s="8">
        <f t="shared" si="13"/>
        <v>44287</v>
      </c>
    </row>
    <row r="323" spans="1:16" x14ac:dyDescent="0.25">
      <c r="A323" s="25"/>
      <c r="N323">
        <v>3</v>
      </c>
      <c r="O323" s="8">
        <v>44367</v>
      </c>
      <c r="P323" s="8">
        <f t="shared" ref="P323:P386" si="14">DATE(YEAR(O323),MONTH(O323),1)</f>
        <v>44348</v>
      </c>
    </row>
    <row r="324" spans="1:16" x14ac:dyDescent="0.25">
      <c r="A324" s="25"/>
      <c r="N324">
        <v>3</v>
      </c>
      <c r="O324" s="8">
        <v>44368</v>
      </c>
      <c r="P324" s="8">
        <f t="shared" si="14"/>
        <v>44348</v>
      </c>
    </row>
    <row r="325" spans="1:16" x14ac:dyDescent="0.25">
      <c r="A325" s="25"/>
      <c r="N325">
        <v>3</v>
      </c>
      <c r="O325" s="8">
        <v>44369</v>
      </c>
      <c r="P325" s="8">
        <f t="shared" si="14"/>
        <v>44348</v>
      </c>
    </row>
    <row r="326" spans="1:16" x14ac:dyDescent="0.25">
      <c r="A326" s="25"/>
      <c r="N326">
        <v>3</v>
      </c>
      <c r="O326" s="8">
        <v>44370</v>
      </c>
      <c r="P326" s="8">
        <f t="shared" si="14"/>
        <v>44348</v>
      </c>
    </row>
    <row r="327" spans="1:16" x14ac:dyDescent="0.25">
      <c r="A327" s="25"/>
      <c r="N327">
        <v>3</v>
      </c>
      <c r="O327" s="8">
        <v>44371</v>
      </c>
      <c r="P327" s="8">
        <f t="shared" si="14"/>
        <v>44348</v>
      </c>
    </row>
    <row r="328" spans="1:16" x14ac:dyDescent="0.25">
      <c r="A328" s="25"/>
      <c r="N328">
        <v>3</v>
      </c>
      <c r="O328" s="8">
        <v>44025</v>
      </c>
      <c r="P328" s="8">
        <f t="shared" si="14"/>
        <v>44013</v>
      </c>
    </row>
    <row r="329" spans="1:16" x14ac:dyDescent="0.25">
      <c r="A329" s="25"/>
      <c r="N329">
        <v>3</v>
      </c>
      <c r="O329" s="8">
        <v>44026</v>
      </c>
      <c r="P329" s="8">
        <f t="shared" si="14"/>
        <v>44013</v>
      </c>
    </row>
    <row r="330" spans="1:16" x14ac:dyDescent="0.25">
      <c r="A330" s="25"/>
      <c r="N330">
        <v>3</v>
      </c>
      <c r="O330" s="8">
        <v>44027</v>
      </c>
      <c r="P330" s="8">
        <f t="shared" si="14"/>
        <v>44013</v>
      </c>
    </row>
    <row r="331" spans="1:16" x14ac:dyDescent="0.25">
      <c r="A331" s="25"/>
      <c r="N331">
        <v>3</v>
      </c>
      <c r="O331" s="8">
        <v>44028</v>
      </c>
      <c r="P331" s="8">
        <f t="shared" si="14"/>
        <v>44013</v>
      </c>
    </row>
    <row r="332" spans="1:16" x14ac:dyDescent="0.25">
      <c r="A332" s="25"/>
      <c r="N332">
        <v>3</v>
      </c>
      <c r="O332" s="8">
        <v>44030</v>
      </c>
      <c r="P332" s="8">
        <f t="shared" si="14"/>
        <v>44013</v>
      </c>
    </row>
    <row r="333" spans="1:16" x14ac:dyDescent="0.25">
      <c r="A333" s="25"/>
      <c r="N333">
        <v>3</v>
      </c>
      <c r="O333" s="8">
        <v>44034</v>
      </c>
      <c r="P333" s="8">
        <f t="shared" si="14"/>
        <v>44013</v>
      </c>
    </row>
    <row r="334" spans="1:16" x14ac:dyDescent="0.25">
      <c r="A334" s="25"/>
      <c r="N334">
        <v>3</v>
      </c>
      <c r="O334" s="8">
        <v>44035</v>
      </c>
      <c r="P334" s="8">
        <f t="shared" si="14"/>
        <v>44013</v>
      </c>
    </row>
    <row r="335" spans="1:16" x14ac:dyDescent="0.25">
      <c r="A335" s="25"/>
      <c r="N335">
        <v>3</v>
      </c>
      <c r="O335" s="8">
        <v>44037</v>
      </c>
      <c r="P335" s="8">
        <f t="shared" si="14"/>
        <v>44013</v>
      </c>
    </row>
    <row r="336" spans="1:16" x14ac:dyDescent="0.25">
      <c r="A336" s="25"/>
      <c r="N336">
        <v>3</v>
      </c>
      <c r="O336" s="8">
        <v>44043</v>
      </c>
      <c r="P336" s="8">
        <f t="shared" si="14"/>
        <v>44013</v>
      </c>
    </row>
    <row r="337" spans="1:16" x14ac:dyDescent="0.25">
      <c r="A337" s="25"/>
      <c r="N337">
        <v>3</v>
      </c>
      <c r="O337" s="8">
        <v>44044</v>
      </c>
      <c r="P337" s="8">
        <f t="shared" si="14"/>
        <v>44044</v>
      </c>
    </row>
    <row r="338" spans="1:16" x14ac:dyDescent="0.25">
      <c r="A338" s="25"/>
      <c r="N338">
        <v>3</v>
      </c>
      <c r="O338" s="8">
        <v>44140</v>
      </c>
      <c r="P338" s="8">
        <f t="shared" si="14"/>
        <v>44136</v>
      </c>
    </row>
    <row r="339" spans="1:16" x14ac:dyDescent="0.25">
      <c r="A339" s="25"/>
      <c r="N339">
        <v>3</v>
      </c>
      <c r="O339" s="8">
        <v>44029</v>
      </c>
      <c r="P339" s="8">
        <f t="shared" si="14"/>
        <v>44013</v>
      </c>
    </row>
    <row r="340" spans="1:16" x14ac:dyDescent="0.25">
      <c r="A340" s="25"/>
      <c r="N340">
        <v>3</v>
      </c>
      <c r="O340" s="8">
        <v>44031</v>
      </c>
      <c r="P340" s="8">
        <f t="shared" si="14"/>
        <v>44013</v>
      </c>
    </row>
    <row r="341" spans="1:16" x14ac:dyDescent="0.25">
      <c r="A341" s="25"/>
      <c r="N341">
        <v>3</v>
      </c>
      <c r="O341" s="8">
        <v>44032</v>
      </c>
      <c r="P341" s="8">
        <f t="shared" si="14"/>
        <v>44013</v>
      </c>
    </row>
    <row r="342" spans="1:16" x14ac:dyDescent="0.25">
      <c r="A342" s="25"/>
      <c r="N342">
        <v>3</v>
      </c>
      <c r="O342" s="8">
        <v>44033</v>
      </c>
      <c r="P342" s="8">
        <f t="shared" si="14"/>
        <v>44013</v>
      </c>
    </row>
    <row r="343" spans="1:16" x14ac:dyDescent="0.25">
      <c r="A343" s="25"/>
      <c r="N343">
        <v>3</v>
      </c>
      <c r="O343" s="8">
        <v>44036</v>
      </c>
      <c r="P343" s="8">
        <f t="shared" si="14"/>
        <v>44013</v>
      </c>
    </row>
    <row r="344" spans="1:16" x14ac:dyDescent="0.25">
      <c r="A344" s="25"/>
      <c r="N344">
        <v>3</v>
      </c>
      <c r="O344" s="8">
        <v>44041</v>
      </c>
      <c r="P344" s="8">
        <f t="shared" si="14"/>
        <v>44013</v>
      </c>
    </row>
    <row r="345" spans="1:16" x14ac:dyDescent="0.25">
      <c r="A345" s="25"/>
      <c r="N345">
        <v>3</v>
      </c>
      <c r="O345" s="8">
        <v>44042</v>
      </c>
      <c r="P345" s="8">
        <f t="shared" si="14"/>
        <v>44013</v>
      </c>
    </row>
    <row r="346" spans="1:16" x14ac:dyDescent="0.25">
      <c r="A346" s="25"/>
      <c r="N346">
        <v>3</v>
      </c>
      <c r="O346" s="8">
        <v>44046</v>
      </c>
      <c r="P346" s="8">
        <f t="shared" si="14"/>
        <v>44044</v>
      </c>
    </row>
    <row r="347" spans="1:16" x14ac:dyDescent="0.25">
      <c r="A347" s="25"/>
      <c r="N347">
        <v>3</v>
      </c>
      <c r="O347" s="8">
        <v>44047</v>
      </c>
      <c r="P347" s="8">
        <f t="shared" si="14"/>
        <v>44044</v>
      </c>
    </row>
    <row r="348" spans="1:16" x14ac:dyDescent="0.25">
      <c r="A348" s="25"/>
      <c r="N348">
        <v>3</v>
      </c>
      <c r="O348" s="8">
        <v>44292</v>
      </c>
      <c r="P348" s="8">
        <f t="shared" si="14"/>
        <v>44287</v>
      </c>
    </row>
    <row r="349" spans="1:16" x14ac:dyDescent="0.25">
      <c r="A349" s="25"/>
      <c r="N349">
        <v>3</v>
      </c>
      <c r="O349" s="8">
        <v>44293</v>
      </c>
      <c r="P349" s="8">
        <f t="shared" si="14"/>
        <v>44287</v>
      </c>
    </row>
    <row r="350" spans="1:16" x14ac:dyDescent="0.25">
      <c r="A350" s="25"/>
      <c r="N350">
        <v>3</v>
      </c>
      <c r="O350" s="8">
        <v>44294</v>
      </c>
      <c r="P350" s="8">
        <f t="shared" si="14"/>
        <v>44287</v>
      </c>
    </row>
    <row r="351" spans="1:16" x14ac:dyDescent="0.25">
      <c r="A351" s="25"/>
      <c r="N351">
        <v>3</v>
      </c>
      <c r="O351" s="8">
        <v>44295</v>
      </c>
      <c r="P351" s="8">
        <f t="shared" si="14"/>
        <v>44287</v>
      </c>
    </row>
    <row r="352" spans="1:16" x14ac:dyDescent="0.25">
      <c r="A352" s="25"/>
      <c r="N352">
        <v>3</v>
      </c>
      <c r="O352" s="8">
        <v>44296</v>
      </c>
      <c r="P352" s="8">
        <f t="shared" si="14"/>
        <v>44287</v>
      </c>
    </row>
    <row r="353" spans="1:16" x14ac:dyDescent="0.25">
      <c r="A353" s="25"/>
      <c r="N353">
        <v>3</v>
      </c>
      <c r="O353" s="8">
        <v>44297</v>
      </c>
      <c r="P353" s="8">
        <f t="shared" si="14"/>
        <v>44287</v>
      </c>
    </row>
    <row r="354" spans="1:16" x14ac:dyDescent="0.25">
      <c r="A354" s="25"/>
      <c r="N354">
        <v>3</v>
      </c>
      <c r="O354" s="8">
        <v>44299</v>
      </c>
      <c r="P354" s="8">
        <f t="shared" si="14"/>
        <v>44287</v>
      </c>
    </row>
    <row r="355" spans="1:16" x14ac:dyDescent="0.25">
      <c r="A355" s="25"/>
      <c r="N355">
        <v>3</v>
      </c>
      <c r="O355" s="8">
        <v>44300</v>
      </c>
      <c r="P355" s="8">
        <f t="shared" si="14"/>
        <v>44287</v>
      </c>
    </row>
    <row r="356" spans="1:16" x14ac:dyDescent="0.25">
      <c r="A356" s="25"/>
      <c r="N356">
        <v>3</v>
      </c>
      <c r="O356" s="8">
        <v>44301</v>
      </c>
      <c r="P356" s="8">
        <f t="shared" si="14"/>
        <v>44287</v>
      </c>
    </row>
    <row r="357" spans="1:16" x14ac:dyDescent="0.25">
      <c r="A357" s="25"/>
      <c r="N357">
        <v>3</v>
      </c>
      <c r="O357" s="8">
        <v>44406</v>
      </c>
      <c r="P357" s="8">
        <f t="shared" si="14"/>
        <v>44378</v>
      </c>
    </row>
    <row r="358" spans="1:16" x14ac:dyDescent="0.25">
      <c r="A358" s="25"/>
      <c r="N358">
        <v>3</v>
      </c>
      <c r="O358" s="8">
        <v>44062</v>
      </c>
      <c r="P358" s="8">
        <f t="shared" si="14"/>
        <v>44044</v>
      </c>
    </row>
    <row r="359" spans="1:16" x14ac:dyDescent="0.25">
      <c r="A359" s="25"/>
      <c r="N359">
        <v>3</v>
      </c>
      <c r="O359" s="8">
        <v>44063</v>
      </c>
      <c r="P359" s="8">
        <f t="shared" si="14"/>
        <v>44044</v>
      </c>
    </row>
    <row r="360" spans="1:16" x14ac:dyDescent="0.25">
      <c r="A360" s="25"/>
      <c r="N360">
        <v>3</v>
      </c>
      <c r="O360" s="8">
        <v>44064</v>
      </c>
      <c r="P360" s="8">
        <f t="shared" si="14"/>
        <v>44044</v>
      </c>
    </row>
    <row r="361" spans="1:16" x14ac:dyDescent="0.25">
      <c r="A361" s="25"/>
      <c r="N361">
        <v>3</v>
      </c>
      <c r="O361" s="8">
        <v>44065</v>
      </c>
      <c r="P361" s="8">
        <f t="shared" si="14"/>
        <v>44044</v>
      </c>
    </row>
    <row r="362" spans="1:16" x14ac:dyDescent="0.25">
      <c r="A362" s="25"/>
      <c r="N362">
        <v>3</v>
      </c>
      <c r="O362" s="8">
        <v>44066</v>
      </c>
      <c r="P362" s="8">
        <f t="shared" si="14"/>
        <v>44044</v>
      </c>
    </row>
    <row r="363" spans="1:16" x14ac:dyDescent="0.25">
      <c r="A363" s="25"/>
      <c r="N363">
        <v>3</v>
      </c>
      <c r="O363" s="8">
        <v>44067</v>
      </c>
      <c r="P363" s="8">
        <f t="shared" si="14"/>
        <v>44044</v>
      </c>
    </row>
    <row r="364" spans="1:16" x14ac:dyDescent="0.25">
      <c r="A364" s="25"/>
      <c r="N364">
        <v>3</v>
      </c>
      <c r="O364" s="8">
        <v>44068</v>
      </c>
      <c r="P364" s="8">
        <f t="shared" si="14"/>
        <v>44044</v>
      </c>
    </row>
    <row r="365" spans="1:16" x14ac:dyDescent="0.25">
      <c r="A365" s="25"/>
      <c r="N365">
        <v>3</v>
      </c>
      <c r="O365" s="8">
        <v>44069</v>
      </c>
      <c r="P365" s="8">
        <f t="shared" si="14"/>
        <v>44044</v>
      </c>
    </row>
    <row r="366" spans="1:16" x14ac:dyDescent="0.25">
      <c r="A366" s="25"/>
      <c r="N366">
        <v>3</v>
      </c>
      <c r="O366" s="8">
        <v>44070</v>
      </c>
      <c r="P366" s="8">
        <f t="shared" si="14"/>
        <v>44044</v>
      </c>
    </row>
    <row r="367" spans="1:16" x14ac:dyDescent="0.25">
      <c r="A367" s="25"/>
      <c r="N367">
        <v>3</v>
      </c>
      <c r="O367" s="8">
        <v>44071</v>
      </c>
      <c r="P367" s="8">
        <f t="shared" si="14"/>
        <v>44044</v>
      </c>
    </row>
    <row r="368" spans="1:16" x14ac:dyDescent="0.25">
      <c r="A368" s="25"/>
      <c r="N368">
        <v>3</v>
      </c>
      <c r="O368" s="8">
        <v>44072</v>
      </c>
      <c r="P368" s="8">
        <f t="shared" si="14"/>
        <v>44044</v>
      </c>
    </row>
    <row r="369" spans="1:16" x14ac:dyDescent="0.25">
      <c r="A369" s="25"/>
      <c r="N369">
        <v>3</v>
      </c>
      <c r="O369" s="8">
        <v>44074</v>
      </c>
      <c r="P369" s="8">
        <f t="shared" si="14"/>
        <v>44044</v>
      </c>
    </row>
    <row r="370" spans="1:16" x14ac:dyDescent="0.25">
      <c r="A370" s="25"/>
      <c r="N370">
        <v>3</v>
      </c>
      <c r="O370" s="8">
        <v>44075</v>
      </c>
      <c r="P370" s="8">
        <f t="shared" si="14"/>
        <v>44075</v>
      </c>
    </row>
    <row r="371" spans="1:16" x14ac:dyDescent="0.25">
      <c r="A371" s="25"/>
      <c r="N371">
        <v>3</v>
      </c>
      <c r="O371" s="8">
        <v>44076</v>
      </c>
      <c r="P371" s="8">
        <f t="shared" si="14"/>
        <v>44075</v>
      </c>
    </row>
    <row r="372" spans="1:16" x14ac:dyDescent="0.25">
      <c r="A372" s="25"/>
      <c r="N372">
        <v>3</v>
      </c>
      <c r="O372" s="8">
        <v>44078</v>
      </c>
      <c r="P372" s="8">
        <f t="shared" si="14"/>
        <v>44075</v>
      </c>
    </row>
    <row r="373" spans="1:16" x14ac:dyDescent="0.25">
      <c r="A373" s="25"/>
      <c r="N373">
        <v>3</v>
      </c>
      <c r="O373" s="8">
        <v>44079</v>
      </c>
      <c r="P373" s="8">
        <f t="shared" si="14"/>
        <v>44075</v>
      </c>
    </row>
    <row r="374" spans="1:16" x14ac:dyDescent="0.25">
      <c r="A374" s="25"/>
      <c r="N374">
        <v>3</v>
      </c>
      <c r="O374" s="8">
        <v>44085</v>
      </c>
      <c r="P374" s="8">
        <f t="shared" si="14"/>
        <v>44075</v>
      </c>
    </row>
    <row r="375" spans="1:16" x14ac:dyDescent="0.25">
      <c r="A375" s="25"/>
      <c r="N375">
        <v>3</v>
      </c>
      <c r="O375" s="8">
        <v>44088</v>
      </c>
      <c r="P375" s="8">
        <f t="shared" si="14"/>
        <v>44075</v>
      </c>
    </row>
    <row r="376" spans="1:16" x14ac:dyDescent="0.25">
      <c r="A376" s="25"/>
      <c r="N376">
        <v>3</v>
      </c>
      <c r="O376" s="8">
        <v>44089</v>
      </c>
      <c r="P376" s="8">
        <f t="shared" si="14"/>
        <v>44075</v>
      </c>
    </row>
    <row r="377" spans="1:16" x14ac:dyDescent="0.25">
      <c r="A377" s="25"/>
      <c r="N377">
        <v>3</v>
      </c>
      <c r="O377" s="8">
        <v>44090</v>
      </c>
      <c r="P377" s="8">
        <f t="shared" si="14"/>
        <v>44075</v>
      </c>
    </row>
    <row r="378" spans="1:16" x14ac:dyDescent="0.25">
      <c r="A378" s="25"/>
      <c r="N378">
        <v>3</v>
      </c>
      <c r="O378" s="8">
        <v>44091</v>
      </c>
      <c r="P378" s="8">
        <f t="shared" si="14"/>
        <v>44075</v>
      </c>
    </row>
    <row r="379" spans="1:16" x14ac:dyDescent="0.25">
      <c r="A379" s="25"/>
      <c r="N379">
        <v>3</v>
      </c>
      <c r="O379" s="8">
        <v>44092</v>
      </c>
      <c r="P379" s="8">
        <f t="shared" si="14"/>
        <v>44075</v>
      </c>
    </row>
    <row r="380" spans="1:16" x14ac:dyDescent="0.25">
      <c r="A380" s="25"/>
      <c r="N380">
        <v>3</v>
      </c>
      <c r="O380" s="8">
        <v>44093</v>
      </c>
      <c r="P380" s="8">
        <f t="shared" si="14"/>
        <v>44075</v>
      </c>
    </row>
    <row r="381" spans="1:16" x14ac:dyDescent="0.25">
      <c r="A381" s="25"/>
      <c r="N381">
        <v>3</v>
      </c>
      <c r="O381" s="8">
        <v>44102</v>
      </c>
      <c r="P381" s="8">
        <f t="shared" si="14"/>
        <v>44075</v>
      </c>
    </row>
    <row r="382" spans="1:16" x14ac:dyDescent="0.25">
      <c r="A382" s="25"/>
      <c r="N382">
        <v>3</v>
      </c>
      <c r="O382" s="8">
        <v>44103</v>
      </c>
      <c r="P382" s="8">
        <f t="shared" si="14"/>
        <v>44075</v>
      </c>
    </row>
    <row r="383" spans="1:16" x14ac:dyDescent="0.25">
      <c r="A383" s="25"/>
      <c r="N383">
        <v>3</v>
      </c>
      <c r="O383" s="8">
        <v>44109</v>
      </c>
      <c r="P383" s="8">
        <f t="shared" si="14"/>
        <v>44105</v>
      </c>
    </row>
    <row r="384" spans="1:16" x14ac:dyDescent="0.25">
      <c r="A384" s="25"/>
      <c r="N384">
        <v>3</v>
      </c>
      <c r="O384" s="8">
        <v>44110</v>
      </c>
      <c r="P384" s="8">
        <f t="shared" si="14"/>
        <v>44105</v>
      </c>
    </row>
    <row r="385" spans="1:16" x14ac:dyDescent="0.25">
      <c r="A385" s="25"/>
      <c r="N385">
        <v>3</v>
      </c>
      <c r="O385" s="8">
        <v>44111</v>
      </c>
      <c r="P385" s="8">
        <f t="shared" si="14"/>
        <v>44105</v>
      </c>
    </row>
    <row r="386" spans="1:16" x14ac:dyDescent="0.25">
      <c r="A386" s="25"/>
      <c r="N386">
        <v>3</v>
      </c>
      <c r="O386" s="8">
        <v>44112</v>
      </c>
      <c r="P386" s="8">
        <f t="shared" si="14"/>
        <v>44105</v>
      </c>
    </row>
    <row r="387" spans="1:16" x14ac:dyDescent="0.25">
      <c r="A387" s="25"/>
      <c r="N387">
        <v>3</v>
      </c>
      <c r="O387" s="8">
        <v>44113</v>
      </c>
      <c r="P387" s="8">
        <f t="shared" ref="P387:P450" si="15">DATE(YEAR(O387),MONTH(O387),1)</f>
        <v>44105</v>
      </c>
    </row>
    <row r="388" spans="1:16" x14ac:dyDescent="0.25">
      <c r="A388" s="25"/>
      <c r="N388">
        <v>3</v>
      </c>
      <c r="O388" s="8">
        <v>44114</v>
      </c>
      <c r="P388" s="8">
        <f t="shared" si="15"/>
        <v>44105</v>
      </c>
    </row>
    <row r="389" spans="1:16" x14ac:dyDescent="0.25">
      <c r="A389" s="25"/>
      <c r="N389">
        <v>3</v>
      </c>
      <c r="O389" s="8">
        <v>44115</v>
      </c>
      <c r="P389" s="8">
        <f t="shared" si="15"/>
        <v>44105</v>
      </c>
    </row>
    <row r="390" spans="1:16" x14ac:dyDescent="0.25">
      <c r="A390" s="25"/>
      <c r="N390">
        <v>3</v>
      </c>
      <c r="O390" s="8">
        <v>44116</v>
      </c>
      <c r="P390" s="8">
        <f t="shared" si="15"/>
        <v>44105</v>
      </c>
    </row>
    <row r="391" spans="1:16" x14ac:dyDescent="0.25">
      <c r="A391" s="25"/>
      <c r="N391">
        <v>3</v>
      </c>
      <c r="O391" s="8">
        <v>44120</v>
      </c>
      <c r="P391" s="8">
        <f t="shared" si="15"/>
        <v>44105</v>
      </c>
    </row>
    <row r="392" spans="1:16" x14ac:dyDescent="0.25">
      <c r="A392" s="25"/>
      <c r="N392">
        <v>3</v>
      </c>
      <c r="O392" s="8">
        <v>44049</v>
      </c>
      <c r="P392" s="8">
        <f t="shared" si="15"/>
        <v>44044</v>
      </c>
    </row>
    <row r="393" spans="1:16" x14ac:dyDescent="0.25">
      <c r="A393" s="25"/>
      <c r="N393">
        <v>3</v>
      </c>
      <c r="O393" s="8">
        <v>44050</v>
      </c>
      <c r="P393" s="8">
        <f t="shared" si="15"/>
        <v>44044</v>
      </c>
    </row>
    <row r="394" spans="1:16" x14ac:dyDescent="0.25">
      <c r="A394" s="25"/>
      <c r="N394">
        <v>3</v>
      </c>
      <c r="O394" s="8">
        <v>44056</v>
      </c>
      <c r="P394" s="8">
        <f t="shared" si="15"/>
        <v>44044</v>
      </c>
    </row>
    <row r="395" spans="1:16" x14ac:dyDescent="0.25">
      <c r="A395" s="25"/>
      <c r="N395">
        <v>3</v>
      </c>
      <c r="O395" s="8">
        <v>44058</v>
      </c>
      <c r="P395" s="8">
        <f t="shared" si="15"/>
        <v>44044</v>
      </c>
    </row>
    <row r="396" spans="1:16" x14ac:dyDescent="0.25">
      <c r="A396" s="25"/>
      <c r="N396">
        <v>3</v>
      </c>
      <c r="O396" s="8">
        <v>44059</v>
      </c>
      <c r="P396" s="8">
        <f t="shared" si="15"/>
        <v>44044</v>
      </c>
    </row>
    <row r="397" spans="1:16" x14ac:dyDescent="0.25">
      <c r="A397" s="25"/>
      <c r="N397">
        <v>3</v>
      </c>
      <c r="O397" s="8">
        <v>44060</v>
      </c>
      <c r="P397" s="8">
        <f t="shared" si="15"/>
        <v>44044</v>
      </c>
    </row>
    <row r="398" spans="1:16" x14ac:dyDescent="0.25">
      <c r="A398" s="25"/>
      <c r="N398">
        <v>3</v>
      </c>
      <c r="O398" s="8">
        <v>44061</v>
      </c>
      <c r="P398" s="8">
        <f t="shared" si="15"/>
        <v>44044</v>
      </c>
    </row>
    <row r="399" spans="1:16" x14ac:dyDescent="0.25">
      <c r="A399" s="25"/>
      <c r="N399">
        <v>3</v>
      </c>
      <c r="O399" s="8">
        <v>44121</v>
      </c>
      <c r="P399" s="8">
        <f t="shared" si="15"/>
        <v>44105</v>
      </c>
    </row>
    <row r="400" spans="1:16" x14ac:dyDescent="0.25">
      <c r="A400" s="25"/>
      <c r="N400">
        <v>3</v>
      </c>
      <c r="O400" s="8">
        <v>44123</v>
      </c>
      <c r="P400" s="8">
        <f t="shared" si="15"/>
        <v>44105</v>
      </c>
    </row>
    <row r="401" spans="1:16" x14ac:dyDescent="0.25">
      <c r="A401" s="25"/>
      <c r="N401">
        <v>3</v>
      </c>
      <c r="O401" s="8">
        <v>44124</v>
      </c>
      <c r="P401" s="8">
        <f t="shared" si="15"/>
        <v>44105</v>
      </c>
    </row>
    <row r="402" spans="1:16" x14ac:dyDescent="0.25">
      <c r="A402" s="25"/>
      <c r="N402">
        <v>3</v>
      </c>
      <c r="O402" s="8">
        <v>44125</v>
      </c>
      <c r="P402" s="8">
        <f t="shared" si="15"/>
        <v>44105</v>
      </c>
    </row>
    <row r="403" spans="1:16" x14ac:dyDescent="0.25">
      <c r="A403" s="25"/>
      <c r="N403">
        <v>3</v>
      </c>
      <c r="O403" s="8">
        <v>44126</v>
      </c>
      <c r="P403" s="8">
        <f t="shared" si="15"/>
        <v>44105</v>
      </c>
    </row>
    <row r="404" spans="1:16" x14ac:dyDescent="0.25">
      <c r="A404" s="25"/>
      <c r="N404">
        <v>3</v>
      </c>
      <c r="O404" s="8">
        <v>44127</v>
      </c>
      <c r="P404" s="8">
        <f t="shared" si="15"/>
        <v>44105</v>
      </c>
    </row>
    <row r="405" spans="1:16" x14ac:dyDescent="0.25">
      <c r="A405" s="25"/>
      <c r="N405">
        <v>3</v>
      </c>
      <c r="O405" s="8">
        <v>44129</v>
      </c>
      <c r="P405" s="8">
        <f t="shared" si="15"/>
        <v>44105</v>
      </c>
    </row>
    <row r="406" spans="1:16" x14ac:dyDescent="0.25">
      <c r="A406" s="25"/>
      <c r="N406">
        <v>3</v>
      </c>
      <c r="O406" s="8">
        <v>44130</v>
      </c>
      <c r="P406" s="8">
        <f t="shared" si="15"/>
        <v>44105</v>
      </c>
    </row>
    <row r="407" spans="1:16" x14ac:dyDescent="0.25">
      <c r="A407" s="25"/>
      <c r="N407">
        <v>3</v>
      </c>
      <c r="O407" s="8">
        <v>44139</v>
      </c>
      <c r="P407" s="8">
        <f t="shared" si="15"/>
        <v>44136</v>
      </c>
    </row>
    <row r="408" spans="1:16" x14ac:dyDescent="0.25">
      <c r="A408" s="25"/>
      <c r="N408">
        <v>3</v>
      </c>
      <c r="O408" s="8">
        <v>44141</v>
      </c>
      <c r="P408" s="8">
        <f t="shared" si="15"/>
        <v>44136</v>
      </c>
    </row>
    <row r="409" spans="1:16" x14ac:dyDescent="0.25">
      <c r="A409" s="25"/>
      <c r="N409">
        <v>3</v>
      </c>
      <c r="O409" s="8">
        <v>44142</v>
      </c>
      <c r="P409" s="8">
        <f t="shared" si="15"/>
        <v>44136</v>
      </c>
    </row>
    <row r="410" spans="1:16" x14ac:dyDescent="0.25">
      <c r="A410" s="25"/>
      <c r="N410">
        <v>3</v>
      </c>
      <c r="O410" s="8">
        <v>44281</v>
      </c>
      <c r="P410" s="8">
        <f t="shared" si="15"/>
        <v>44256</v>
      </c>
    </row>
    <row r="411" spans="1:16" x14ac:dyDescent="0.25">
      <c r="A411" s="25"/>
      <c r="N411">
        <v>3</v>
      </c>
      <c r="O411" s="8">
        <v>44282</v>
      </c>
      <c r="P411" s="8">
        <f t="shared" si="15"/>
        <v>44256</v>
      </c>
    </row>
    <row r="412" spans="1:16" x14ac:dyDescent="0.25">
      <c r="A412" s="25"/>
      <c r="N412">
        <v>3</v>
      </c>
      <c r="O412" s="8">
        <v>44290</v>
      </c>
      <c r="P412" s="8">
        <f t="shared" si="15"/>
        <v>44287</v>
      </c>
    </row>
    <row r="413" spans="1:16" x14ac:dyDescent="0.25">
      <c r="A413" s="25"/>
      <c r="N413">
        <v>3</v>
      </c>
      <c r="O413" s="8">
        <v>44372</v>
      </c>
      <c r="P413" s="8">
        <f t="shared" si="15"/>
        <v>44348</v>
      </c>
    </row>
    <row r="414" spans="1:16" x14ac:dyDescent="0.25">
      <c r="A414" s="25"/>
      <c r="N414">
        <v>1</v>
      </c>
      <c r="O414" s="8">
        <v>44445</v>
      </c>
      <c r="P414" s="8">
        <f t="shared" si="15"/>
        <v>44440</v>
      </c>
    </row>
    <row r="415" spans="1:16" x14ac:dyDescent="0.25">
      <c r="A415" s="25"/>
      <c r="N415">
        <v>1</v>
      </c>
      <c r="O415" s="8">
        <v>44446</v>
      </c>
      <c r="P415" s="8">
        <f t="shared" si="15"/>
        <v>44440</v>
      </c>
    </row>
    <row r="416" spans="1:16" x14ac:dyDescent="0.25">
      <c r="A416" s="25"/>
      <c r="N416">
        <v>1</v>
      </c>
      <c r="O416" s="8">
        <v>44447</v>
      </c>
      <c r="P416" s="8">
        <f t="shared" si="15"/>
        <v>44440</v>
      </c>
    </row>
    <row r="417" spans="1:16" x14ac:dyDescent="0.25">
      <c r="A417" s="25"/>
      <c r="N417">
        <v>1</v>
      </c>
      <c r="O417" s="8">
        <v>44449</v>
      </c>
      <c r="P417" s="8">
        <f t="shared" si="15"/>
        <v>44440</v>
      </c>
    </row>
    <row r="418" spans="1:16" x14ac:dyDescent="0.25">
      <c r="A418" s="25"/>
      <c r="N418">
        <v>1</v>
      </c>
      <c r="O418" s="8">
        <v>44450</v>
      </c>
      <c r="P418" s="8">
        <f t="shared" si="15"/>
        <v>44440</v>
      </c>
    </row>
    <row r="419" spans="1:16" x14ac:dyDescent="0.25">
      <c r="A419" s="25"/>
      <c r="N419">
        <v>1</v>
      </c>
      <c r="O419" s="8">
        <v>44451</v>
      </c>
      <c r="P419" s="8">
        <f t="shared" si="15"/>
        <v>44440</v>
      </c>
    </row>
    <row r="420" spans="1:16" x14ac:dyDescent="0.25">
      <c r="A420" s="25"/>
      <c r="N420">
        <v>1</v>
      </c>
      <c r="O420" s="8">
        <v>44452</v>
      </c>
      <c r="P420" s="8">
        <f t="shared" si="15"/>
        <v>44440</v>
      </c>
    </row>
    <row r="421" spans="1:16" x14ac:dyDescent="0.25">
      <c r="A421" s="25"/>
      <c r="N421">
        <v>1</v>
      </c>
      <c r="O421" s="8">
        <v>44453</v>
      </c>
      <c r="P421" s="8">
        <f t="shared" si="15"/>
        <v>44440</v>
      </c>
    </row>
    <row r="422" spans="1:16" x14ac:dyDescent="0.25">
      <c r="A422" s="25"/>
      <c r="N422">
        <v>1</v>
      </c>
      <c r="O422" s="8">
        <v>44428</v>
      </c>
      <c r="P422" s="8">
        <f t="shared" si="15"/>
        <v>44409</v>
      </c>
    </row>
    <row r="423" spans="1:16" x14ac:dyDescent="0.25">
      <c r="A423" s="25"/>
      <c r="N423">
        <v>1</v>
      </c>
      <c r="O423" s="8">
        <v>44429</v>
      </c>
      <c r="P423" s="8">
        <f t="shared" si="15"/>
        <v>44409</v>
      </c>
    </row>
    <row r="424" spans="1:16" x14ac:dyDescent="0.25">
      <c r="A424" s="25"/>
      <c r="N424">
        <v>1</v>
      </c>
      <c r="O424" s="8">
        <v>44430</v>
      </c>
      <c r="P424" s="8">
        <f t="shared" si="15"/>
        <v>44409</v>
      </c>
    </row>
    <row r="425" spans="1:16" x14ac:dyDescent="0.25">
      <c r="A425" s="25"/>
      <c r="N425">
        <v>1</v>
      </c>
      <c r="O425" s="8">
        <v>44441</v>
      </c>
      <c r="P425" s="8">
        <f t="shared" si="15"/>
        <v>44440</v>
      </c>
    </row>
    <row r="426" spans="1:16" x14ac:dyDescent="0.25">
      <c r="A426" s="25"/>
      <c r="N426">
        <v>1</v>
      </c>
      <c r="O426" s="8">
        <v>44442</v>
      </c>
      <c r="P426" s="8">
        <f t="shared" si="15"/>
        <v>44440</v>
      </c>
    </row>
    <row r="427" spans="1:16" x14ac:dyDescent="0.25">
      <c r="A427" s="25"/>
      <c r="N427">
        <v>1</v>
      </c>
      <c r="O427" s="8">
        <v>44443</v>
      </c>
      <c r="P427" s="8">
        <f t="shared" si="15"/>
        <v>44440</v>
      </c>
    </row>
    <row r="428" spans="1:16" x14ac:dyDescent="0.25">
      <c r="A428" s="25"/>
      <c r="N428">
        <v>1</v>
      </c>
      <c r="O428" s="8">
        <v>44409</v>
      </c>
      <c r="P428" s="8">
        <f t="shared" si="15"/>
        <v>44409</v>
      </c>
    </row>
    <row r="429" spans="1:16" x14ac:dyDescent="0.25">
      <c r="A429" s="25"/>
      <c r="N429">
        <v>1</v>
      </c>
      <c r="O429" s="8">
        <v>44410</v>
      </c>
      <c r="P429" s="8">
        <f t="shared" si="15"/>
        <v>44409</v>
      </c>
    </row>
    <row r="430" spans="1:16" x14ac:dyDescent="0.25">
      <c r="A430" s="25"/>
      <c r="N430">
        <v>1</v>
      </c>
      <c r="O430" s="8">
        <v>44411</v>
      </c>
      <c r="P430" s="8">
        <f t="shared" si="15"/>
        <v>44409</v>
      </c>
    </row>
    <row r="431" spans="1:16" x14ac:dyDescent="0.25">
      <c r="A431" s="25"/>
      <c r="N431">
        <v>1</v>
      </c>
      <c r="O431" s="8">
        <v>44388</v>
      </c>
      <c r="P431" s="8">
        <f t="shared" si="15"/>
        <v>44378</v>
      </c>
    </row>
    <row r="432" spans="1:16" x14ac:dyDescent="0.25">
      <c r="A432" s="25"/>
      <c r="N432">
        <v>1</v>
      </c>
      <c r="O432" s="8">
        <v>44392</v>
      </c>
      <c r="P432" s="8">
        <f t="shared" si="15"/>
        <v>44378</v>
      </c>
    </row>
    <row r="433" spans="1:16" x14ac:dyDescent="0.25">
      <c r="A433" s="25"/>
      <c r="N433">
        <v>1</v>
      </c>
      <c r="O433" s="8">
        <v>44393</v>
      </c>
      <c r="P433" s="8">
        <f t="shared" si="15"/>
        <v>44378</v>
      </c>
    </row>
    <row r="434" spans="1:16" x14ac:dyDescent="0.25">
      <c r="A434" s="25"/>
      <c r="N434">
        <v>1</v>
      </c>
      <c r="O434" s="8">
        <v>44394</v>
      </c>
      <c r="P434" s="8">
        <f t="shared" si="15"/>
        <v>44378</v>
      </c>
    </row>
    <row r="435" spans="1:16" x14ac:dyDescent="0.25">
      <c r="A435" s="25"/>
      <c r="N435">
        <v>1</v>
      </c>
      <c r="O435" s="8">
        <v>44383</v>
      </c>
      <c r="P435" s="8">
        <f t="shared" si="15"/>
        <v>44378</v>
      </c>
    </row>
    <row r="436" spans="1:16" x14ac:dyDescent="0.25">
      <c r="A436" s="25"/>
      <c r="N436">
        <v>1</v>
      </c>
      <c r="O436" s="8">
        <v>44384</v>
      </c>
      <c r="P436" s="8">
        <f t="shared" si="15"/>
        <v>44378</v>
      </c>
    </row>
    <row r="437" spans="1:16" x14ac:dyDescent="0.25">
      <c r="A437" s="25"/>
      <c r="N437">
        <v>1</v>
      </c>
      <c r="O437" s="8">
        <v>44527</v>
      </c>
      <c r="P437" s="8">
        <f t="shared" si="15"/>
        <v>44501</v>
      </c>
    </row>
    <row r="438" spans="1:16" x14ac:dyDescent="0.25">
      <c r="A438" s="25"/>
      <c r="N438">
        <v>1</v>
      </c>
      <c r="O438" s="8">
        <v>44389</v>
      </c>
      <c r="P438" s="8">
        <f t="shared" si="15"/>
        <v>44378</v>
      </c>
    </row>
    <row r="439" spans="1:16" x14ac:dyDescent="0.25">
      <c r="A439" s="25"/>
      <c r="N439">
        <v>1</v>
      </c>
      <c r="O439" s="8">
        <v>44390</v>
      </c>
      <c r="P439" s="8">
        <f t="shared" si="15"/>
        <v>44378</v>
      </c>
    </row>
    <row r="440" spans="1:16" x14ac:dyDescent="0.25">
      <c r="A440" s="25"/>
      <c r="N440">
        <v>1</v>
      </c>
      <c r="O440" s="8">
        <v>44395</v>
      </c>
      <c r="P440" s="8">
        <f t="shared" si="15"/>
        <v>44378</v>
      </c>
    </row>
    <row r="441" spans="1:16" x14ac:dyDescent="0.25">
      <c r="A441" s="25"/>
      <c r="N441">
        <v>1</v>
      </c>
      <c r="O441" s="8">
        <v>44396</v>
      </c>
      <c r="P441" s="8">
        <f t="shared" si="15"/>
        <v>44378</v>
      </c>
    </row>
    <row r="442" spans="1:16" x14ac:dyDescent="0.25">
      <c r="A442" s="25"/>
      <c r="N442">
        <v>1</v>
      </c>
      <c r="O442" s="8">
        <v>44401</v>
      </c>
      <c r="P442" s="8">
        <f t="shared" si="15"/>
        <v>44378</v>
      </c>
    </row>
    <row r="443" spans="1:16" x14ac:dyDescent="0.25">
      <c r="A443" s="25"/>
      <c r="N443">
        <v>1</v>
      </c>
      <c r="O443" s="8">
        <v>44402</v>
      </c>
      <c r="P443" s="8">
        <f t="shared" si="15"/>
        <v>44378</v>
      </c>
    </row>
    <row r="444" spans="1:16" x14ac:dyDescent="0.25">
      <c r="A444" s="25"/>
      <c r="N444">
        <v>1</v>
      </c>
      <c r="O444" s="8">
        <v>44404</v>
      </c>
      <c r="P444" s="8">
        <f t="shared" si="15"/>
        <v>44378</v>
      </c>
    </row>
    <row r="445" spans="1:16" x14ac:dyDescent="0.25">
      <c r="A445" s="25"/>
      <c r="N445">
        <v>1</v>
      </c>
      <c r="O445" s="8">
        <v>44405</v>
      </c>
      <c r="P445" s="8">
        <f t="shared" si="15"/>
        <v>44378</v>
      </c>
    </row>
    <row r="446" spans="1:16" x14ac:dyDescent="0.25">
      <c r="A446" s="25"/>
      <c r="N446">
        <v>1</v>
      </c>
      <c r="O446" s="8">
        <v>44406</v>
      </c>
      <c r="P446" s="8">
        <f t="shared" si="15"/>
        <v>44378</v>
      </c>
    </row>
    <row r="447" spans="1:16" x14ac:dyDescent="0.25">
      <c r="A447" s="25"/>
      <c r="N447">
        <v>1</v>
      </c>
      <c r="O447" s="8">
        <v>44407</v>
      </c>
      <c r="P447" s="8">
        <f t="shared" si="15"/>
        <v>44378</v>
      </c>
    </row>
    <row r="448" spans="1:16" x14ac:dyDescent="0.25">
      <c r="A448" s="25"/>
      <c r="N448">
        <v>1</v>
      </c>
      <c r="O448" s="8">
        <v>44408</v>
      </c>
      <c r="P448" s="8">
        <f t="shared" si="15"/>
        <v>44378</v>
      </c>
    </row>
    <row r="449" spans="1:16" x14ac:dyDescent="0.25">
      <c r="A449" s="25"/>
      <c r="N449">
        <v>1</v>
      </c>
      <c r="O449" s="8">
        <v>44454</v>
      </c>
      <c r="P449" s="8">
        <f t="shared" si="15"/>
        <v>44440</v>
      </c>
    </row>
    <row r="450" spans="1:16" x14ac:dyDescent="0.25">
      <c r="A450" s="25"/>
      <c r="N450">
        <v>1</v>
      </c>
      <c r="O450" s="8">
        <v>44385</v>
      </c>
      <c r="P450" s="8">
        <f t="shared" si="15"/>
        <v>44378</v>
      </c>
    </row>
    <row r="451" spans="1:16" x14ac:dyDescent="0.25">
      <c r="A451" s="25"/>
      <c r="N451">
        <v>1</v>
      </c>
      <c r="O451" s="8">
        <v>44403</v>
      </c>
      <c r="P451" s="8">
        <f t="shared" ref="P451:P514" si="16">DATE(YEAR(O451),MONTH(O451),1)</f>
        <v>44378</v>
      </c>
    </row>
    <row r="452" spans="1:16" x14ac:dyDescent="0.25">
      <c r="A452" s="25"/>
      <c r="N452">
        <v>1</v>
      </c>
      <c r="O452" s="8">
        <v>44417</v>
      </c>
      <c r="P452" s="8">
        <f t="shared" si="16"/>
        <v>44409</v>
      </c>
    </row>
    <row r="453" spans="1:16" x14ac:dyDescent="0.25">
      <c r="A453" s="25"/>
      <c r="N453">
        <v>1</v>
      </c>
      <c r="O453" s="8">
        <v>44418</v>
      </c>
      <c r="P453" s="8">
        <f t="shared" si="16"/>
        <v>44409</v>
      </c>
    </row>
    <row r="454" spans="1:16" x14ac:dyDescent="0.25">
      <c r="A454" s="25"/>
      <c r="N454">
        <v>1</v>
      </c>
      <c r="O454" s="8">
        <v>44419</v>
      </c>
      <c r="P454" s="8">
        <f t="shared" si="16"/>
        <v>44409</v>
      </c>
    </row>
    <row r="455" spans="1:16" x14ac:dyDescent="0.25">
      <c r="A455" s="25"/>
      <c r="N455">
        <v>1</v>
      </c>
      <c r="O455" s="8">
        <v>44420</v>
      </c>
      <c r="P455" s="8">
        <f t="shared" si="16"/>
        <v>44409</v>
      </c>
    </row>
    <row r="456" spans="1:16" x14ac:dyDescent="0.25">
      <c r="A456" s="25"/>
      <c r="N456">
        <v>1</v>
      </c>
      <c r="O456" s="8">
        <v>44421</v>
      </c>
      <c r="P456" s="8">
        <f t="shared" si="16"/>
        <v>44409</v>
      </c>
    </row>
    <row r="457" spans="1:16" x14ac:dyDescent="0.25">
      <c r="A457" s="25"/>
      <c r="N457">
        <v>1</v>
      </c>
      <c r="O457" s="8">
        <v>44422</v>
      </c>
      <c r="P457" s="8">
        <f t="shared" si="16"/>
        <v>44409</v>
      </c>
    </row>
    <row r="458" spans="1:16" x14ac:dyDescent="0.25">
      <c r="A458" s="25"/>
      <c r="N458">
        <v>1</v>
      </c>
      <c r="O458" s="8">
        <v>44423</v>
      </c>
      <c r="P458" s="8">
        <f t="shared" si="16"/>
        <v>44409</v>
      </c>
    </row>
    <row r="459" spans="1:16" x14ac:dyDescent="0.25">
      <c r="A459" s="25"/>
      <c r="N459">
        <v>1</v>
      </c>
      <c r="O459" s="8">
        <v>44424</v>
      </c>
      <c r="P459" s="8">
        <f t="shared" si="16"/>
        <v>44409</v>
      </c>
    </row>
    <row r="460" spans="1:16" x14ac:dyDescent="0.25">
      <c r="A460" s="25"/>
      <c r="N460">
        <v>1</v>
      </c>
      <c r="O460" s="8">
        <v>44425</v>
      </c>
      <c r="P460" s="8">
        <f t="shared" si="16"/>
        <v>44409</v>
      </c>
    </row>
    <row r="461" spans="1:16" x14ac:dyDescent="0.25">
      <c r="A461" s="25"/>
      <c r="N461">
        <v>1</v>
      </c>
      <c r="O461" s="8">
        <v>44426</v>
      </c>
      <c r="P461" s="8">
        <f t="shared" si="16"/>
        <v>44409</v>
      </c>
    </row>
    <row r="462" spans="1:16" x14ac:dyDescent="0.25">
      <c r="A462" s="25"/>
      <c r="N462">
        <v>1</v>
      </c>
      <c r="O462" s="8">
        <v>44427</v>
      </c>
      <c r="P462" s="8">
        <f t="shared" si="16"/>
        <v>44409</v>
      </c>
    </row>
    <row r="463" spans="1:16" x14ac:dyDescent="0.25">
      <c r="A463" s="25"/>
      <c r="N463">
        <v>1</v>
      </c>
      <c r="O463" s="8">
        <v>44431</v>
      </c>
      <c r="P463" s="8">
        <f t="shared" si="16"/>
        <v>44409</v>
      </c>
    </row>
    <row r="464" spans="1:16" x14ac:dyDescent="0.25">
      <c r="A464" s="25"/>
      <c r="N464">
        <v>1</v>
      </c>
      <c r="O464" s="8">
        <v>44432</v>
      </c>
      <c r="P464" s="8">
        <f t="shared" si="16"/>
        <v>44409</v>
      </c>
    </row>
    <row r="465" spans="1:16" x14ac:dyDescent="0.25">
      <c r="A465" s="25"/>
      <c r="N465">
        <v>1</v>
      </c>
      <c r="O465" s="8">
        <v>44433</v>
      </c>
      <c r="P465" s="8">
        <f t="shared" si="16"/>
        <v>44409</v>
      </c>
    </row>
    <row r="466" spans="1:16" x14ac:dyDescent="0.25">
      <c r="A466" s="25"/>
      <c r="N466">
        <v>1</v>
      </c>
      <c r="O466" s="8">
        <v>44436</v>
      </c>
      <c r="P466" s="8">
        <f t="shared" si="16"/>
        <v>44409</v>
      </c>
    </row>
    <row r="467" spans="1:16" x14ac:dyDescent="0.25">
      <c r="A467" s="25"/>
      <c r="N467">
        <v>1</v>
      </c>
      <c r="O467" s="8">
        <v>44437</v>
      </c>
      <c r="P467" s="8">
        <f t="shared" si="16"/>
        <v>44409</v>
      </c>
    </row>
    <row r="468" spans="1:16" x14ac:dyDescent="0.25">
      <c r="A468" s="25"/>
      <c r="N468">
        <v>1</v>
      </c>
      <c r="O468" s="8">
        <v>44438</v>
      </c>
      <c r="P468" s="8">
        <f t="shared" si="16"/>
        <v>44409</v>
      </c>
    </row>
    <row r="469" spans="1:16" x14ac:dyDescent="0.25">
      <c r="A469" s="25"/>
      <c r="N469">
        <v>1</v>
      </c>
      <c r="O469" s="8">
        <v>44439</v>
      </c>
      <c r="P469" s="8">
        <f t="shared" si="16"/>
        <v>44409</v>
      </c>
    </row>
    <row r="470" spans="1:16" x14ac:dyDescent="0.25">
      <c r="A470" s="25"/>
      <c r="N470">
        <v>1</v>
      </c>
      <c r="O470" s="8">
        <v>44440</v>
      </c>
      <c r="P470" s="8">
        <f t="shared" si="16"/>
        <v>44440</v>
      </c>
    </row>
    <row r="471" spans="1:16" x14ac:dyDescent="0.25">
      <c r="A471" s="25"/>
      <c r="N471">
        <v>1</v>
      </c>
      <c r="O471" s="8">
        <v>44448</v>
      </c>
      <c r="P471" s="8">
        <f t="shared" si="16"/>
        <v>44440</v>
      </c>
    </row>
    <row r="472" spans="1:16" x14ac:dyDescent="0.25">
      <c r="A472" s="25"/>
      <c r="N472">
        <v>1</v>
      </c>
      <c r="O472" s="8">
        <v>44397</v>
      </c>
      <c r="P472" s="8">
        <f t="shared" si="16"/>
        <v>44378</v>
      </c>
    </row>
    <row r="473" spans="1:16" x14ac:dyDescent="0.25">
      <c r="A473" s="25"/>
      <c r="N473">
        <v>1</v>
      </c>
      <c r="O473" s="8">
        <v>44398</v>
      </c>
      <c r="P473" s="8">
        <f t="shared" si="16"/>
        <v>44378</v>
      </c>
    </row>
    <row r="474" spans="1:16" x14ac:dyDescent="0.25">
      <c r="A474" s="25"/>
      <c r="N474">
        <v>1</v>
      </c>
      <c r="O474" s="8">
        <v>44399</v>
      </c>
      <c r="P474" s="8">
        <f t="shared" si="16"/>
        <v>44378</v>
      </c>
    </row>
    <row r="475" spans="1:16" x14ac:dyDescent="0.25">
      <c r="A475" s="25"/>
      <c r="N475">
        <v>1</v>
      </c>
      <c r="O475" s="8">
        <v>44400</v>
      </c>
      <c r="P475" s="8">
        <f t="shared" si="16"/>
        <v>44378</v>
      </c>
    </row>
    <row r="476" spans="1:16" x14ac:dyDescent="0.25">
      <c r="A476" s="25"/>
      <c r="N476">
        <v>1</v>
      </c>
      <c r="O476" s="8">
        <v>44455</v>
      </c>
      <c r="P476" s="8">
        <f t="shared" si="16"/>
        <v>44440</v>
      </c>
    </row>
    <row r="477" spans="1:16" x14ac:dyDescent="0.25">
      <c r="A477" s="25"/>
      <c r="N477">
        <v>1</v>
      </c>
      <c r="O477" s="8">
        <v>44456</v>
      </c>
      <c r="P477" s="8">
        <f t="shared" si="16"/>
        <v>44440</v>
      </c>
    </row>
    <row r="478" spans="1:16" x14ac:dyDescent="0.25">
      <c r="A478" s="25"/>
      <c r="N478">
        <v>1</v>
      </c>
      <c r="O478" s="8">
        <v>44457</v>
      </c>
      <c r="P478" s="8">
        <f t="shared" si="16"/>
        <v>44440</v>
      </c>
    </row>
    <row r="479" spans="1:16" x14ac:dyDescent="0.25">
      <c r="A479" s="25"/>
      <c r="N479">
        <v>1</v>
      </c>
      <c r="O479" s="8">
        <v>44458</v>
      </c>
      <c r="P479" s="8">
        <f t="shared" si="16"/>
        <v>44440</v>
      </c>
    </row>
    <row r="480" spans="1:16" x14ac:dyDescent="0.25">
      <c r="A480" s="25"/>
      <c r="N480">
        <v>1</v>
      </c>
      <c r="O480" s="8">
        <v>44459</v>
      </c>
      <c r="P480" s="8">
        <f t="shared" si="16"/>
        <v>44440</v>
      </c>
    </row>
    <row r="481" spans="1:16" x14ac:dyDescent="0.25">
      <c r="A481" s="25"/>
      <c r="N481">
        <v>1</v>
      </c>
      <c r="O481" s="8">
        <v>44493</v>
      </c>
      <c r="P481" s="8">
        <f t="shared" si="16"/>
        <v>44470</v>
      </c>
    </row>
    <row r="482" spans="1:16" x14ac:dyDescent="0.25">
      <c r="A482" s="25"/>
      <c r="N482">
        <v>1</v>
      </c>
      <c r="O482" s="8">
        <v>44494</v>
      </c>
      <c r="P482" s="8">
        <f t="shared" si="16"/>
        <v>44470</v>
      </c>
    </row>
    <row r="483" spans="1:16" x14ac:dyDescent="0.25">
      <c r="A483" s="25"/>
      <c r="N483">
        <v>1</v>
      </c>
      <c r="O483" s="8">
        <v>44495</v>
      </c>
      <c r="P483" s="8">
        <f t="shared" si="16"/>
        <v>44470</v>
      </c>
    </row>
    <row r="484" spans="1:16" x14ac:dyDescent="0.25">
      <c r="A484" s="25"/>
      <c r="N484">
        <v>1</v>
      </c>
      <c r="O484" s="8">
        <v>44496</v>
      </c>
      <c r="P484" s="8">
        <f t="shared" si="16"/>
        <v>44470</v>
      </c>
    </row>
    <row r="485" spans="1:16" x14ac:dyDescent="0.25">
      <c r="A485" s="25"/>
      <c r="N485">
        <v>1</v>
      </c>
      <c r="O485" s="8">
        <v>44500</v>
      </c>
      <c r="P485" s="8">
        <f t="shared" si="16"/>
        <v>44470</v>
      </c>
    </row>
    <row r="486" spans="1:16" x14ac:dyDescent="0.25">
      <c r="A486" s="25"/>
      <c r="N486">
        <v>1</v>
      </c>
      <c r="O486" s="8">
        <v>44501</v>
      </c>
      <c r="P486" s="8">
        <f t="shared" si="16"/>
        <v>44501</v>
      </c>
    </row>
    <row r="487" spans="1:16" x14ac:dyDescent="0.25">
      <c r="A487" s="25"/>
      <c r="N487">
        <v>1</v>
      </c>
      <c r="O487" s="8">
        <v>44502</v>
      </c>
      <c r="P487" s="8">
        <f t="shared" si="16"/>
        <v>44501</v>
      </c>
    </row>
    <row r="488" spans="1:16" x14ac:dyDescent="0.25">
      <c r="A488" s="25"/>
      <c r="N488">
        <v>1</v>
      </c>
      <c r="O488" s="8">
        <v>44503</v>
      </c>
      <c r="P488" s="8">
        <f t="shared" si="16"/>
        <v>44501</v>
      </c>
    </row>
    <row r="489" spans="1:16" x14ac:dyDescent="0.25">
      <c r="A489" s="25"/>
      <c r="N489">
        <v>1</v>
      </c>
      <c r="O489" s="8">
        <v>44504</v>
      </c>
      <c r="P489" s="8">
        <f t="shared" si="16"/>
        <v>44501</v>
      </c>
    </row>
    <row r="490" spans="1:16" x14ac:dyDescent="0.25">
      <c r="A490" s="25"/>
      <c r="N490">
        <v>1</v>
      </c>
      <c r="O490" s="8">
        <v>44505</v>
      </c>
      <c r="P490" s="8">
        <f t="shared" si="16"/>
        <v>44501</v>
      </c>
    </row>
    <row r="491" spans="1:16" x14ac:dyDescent="0.25">
      <c r="A491" s="25"/>
      <c r="N491">
        <v>1</v>
      </c>
      <c r="O491" s="8">
        <v>44507</v>
      </c>
      <c r="P491" s="8">
        <f t="shared" si="16"/>
        <v>44501</v>
      </c>
    </row>
    <row r="492" spans="1:16" x14ac:dyDescent="0.25">
      <c r="A492" s="25"/>
      <c r="N492">
        <v>1</v>
      </c>
      <c r="O492" s="8">
        <v>44508</v>
      </c>
      <c r="P492" s="8">
        <f t="shared" si="16"/>
        <v>44501</v>
      </c>
    </row>
    <row r="493" spans="1:16" x14ac:dyDescent="0.25">
      <c r="A493" s="25"/>
      <c r="N493">
        <v>1</v>
      </c>
      <c r="O493" s="8">
        <v>44509</v>
      </c>
      <c r="P493" s="8">
        <f t="shared" si="16"/>
        <v>44501</v>
      </c>
    </row>
    <row r="494" spans="1:16" x14ac:dyDescent="0.25">
      <c r="A494" s="25"/>
      <c r="N494">
        <v>1</v>
      </c>
      <c r="O494" s="8">
        <v>44510</v>
      </c>
      <c r="P494" s="8">
        <f t="shared" si="16"/>
        <v>44501</v>
      </c>
    </row>
    <row r="495" spans="1:16" x14ac:dyDescent="0.25">
      <c r="A495" s="25"/>
      <c r="N495">
        <v>1</v>
      </c>
      <c r="O495" s="8">
        <v>44461</v>
      </c>
      <c r="P495" s="8">
        <f t="shared" si="16"/>
        <v>44440</v>
      </c>
    </row>
    <row r="496" spans="1:16" x14ac:dyDescent="0.25">
      <c r="A496" s="25"/>
      <c r="N496">
        <v>1</v>
      </c>
      <c r="O496" s="8">
        <v>44462</v>
      </c>
      <c r="P496" s="8">
        <f t="shared" si="16"/>
        <v>44440</v>
      </c>
    </row>
    <row r="497" spans="1:16" x14ac:dyDescent="0.25">
      <c r="A497" s="25"/>
      <c r="N497">
        <v>1</v>
      </c>
      <c r="O497" s="8">
        <v>44466</v>
      </c>
      <c r="P497" s="8">
        <f t="shared" si="16"/>
        <v>44440</v>
      </c>
    </row>
    <row r="498" spans="1:16" x14ac:dyDescent="0.25">
      <c r="A498" s="25"/>
      <c r="N498">
        <v>1</v>
      </c>
      <c r="O498" s="8">
        <v>44472</v>
      </c>
      <c r="P498" s="8">
        <f t="shared" si="16"/>
        <v>44470</v>
      </c>
    </row>
    <row r="499" spans="1:16" x14ac:dyDescent="0.25">
      <c r="A499" s="25"/>
      <c r="N499">
        <v>1</v>
      </c>
      <c r="O499" s="8">
        <v>44474</v>
      </c>
      <c r="P499" s="8">
        <f t="shared" si="16"/>
        <v>44470</v>
      </c>
    </row>
    <row r="500" spans="1:16" x14ac:dyDescent="0.25">
      <c r="A500" s="25"/>
      <c r="N500">
        <v>1</v>
      </c>
      <c r="O500" s="8">
        <v>44475</v>
      </c>
      <c r="P500" s="8">
        <f t="shared" si="16"/>
        <v>44470</v>
      </c>
    </row>
    <row r="501" spans="1:16" x14ac:dyDescent="0.25">
      <c r="A501" s="25"/>
      <c r="N501">
        <v>1</v>
      </c>
      <c r="O501" s="8">
        <v>44476</v>
      </c>
      <c r="P501" s="8">
        <f t="shared" si="16"/>
        <v>44470</v>
      </c>
    </row>
    <row r="502" spans="1:16" x14ac:dyDescent="0.25">
      <c r="A502" s="25"/>
      <c r="N502">
        <v>1</v>
      </c>
      <c r="O502" s="8">
        <v>44477</v>
      </c>
      <c r="P502" s="8">
        <f t="shared" si="16"/>
        <v>44470</v>
      </c>
    </row>
    <row r="503" spans="1:16" x14ac:dyDescent="0.25">
      <c r="A503" s="25"/>
      <c r="N503">
        <v>1</v>
      </c>
      <c r="O503" s="8">
        <v>44478</v>
      </c>
      <c r="P503" s="8">
        <f t="shared" si="16"/>
        <v>44470</v>
      </c>
    </row>
    <row r="504" spans="1:16" x14ac:dyDescent="0.25">
      <c r="A504" s="25"/>
      <c r="N504">
        <v>1</v>
      </c>
      <c r="O504" s="8">
        <v>44480</v>
      </c>
      <c r="P504" s="8">
        <f t="shared" si="16"/>
        <v>44470</v>
      </c>
    </row>
    <row r="505" spans="1:16" x14ac:dyDescent="0.25">
      <c r="A505" s="25"/>
      <c r="N505">
        <v>1</v>
      </c>
      <c r="O505" s="8">
        <v>44482</v>
      </c>
      <c r="P505" s="8">
        <f t="shared" si="16"/>
        <v>44470</v>
      </c>
    </row>
    <row r="506" spans="1:16" x14ac:dyDescent="0.25">
      <c r="A506" s="25"/>
      <c r="N506">
        <v>1</v>
      </c>
      <c r="O506" s="8">
        <v>44484</v>
      </c>
      <c r="P506" s="8">
        <f t="shared" si="16"/>
        <v>44470</v>
      </c>
    </row>
    <row r="507" spans="1:16" x14ac:dyDescent="0.25">
      <c r="A507" s="25"/>
      <c r="N507">
        <v>1</v>
      </c>
      <c r="O507" s="8">
        <v>44485</v>
      </c>
      <c r="P507" s="8">
        <f t="shared" si="16"/>
        <v>44470</v>
      </c>
    </row>
    <row r="508" spans="1:16" x14ac:dyDescent="0.25">
      <c r="A508" s="25"/>
      <c r="N508">
        <v>1</v>
      </c>
      <c r="O508" s="8">
        <v>44486</v>
      </c>
      <c r="P508" s="8">
        <f t="shared" si="16"/>
        <v>44470</v>
      </c>
    </row>
    <row r="509" spans="1:16" x14ac:dyDescent="0.25">
      <c r="A509" s="25"/>
      <c r="N509">
        <v>1</v>
      </c>
      <c r="O509" s="8">
        <v>44489</v>
      </c>
      <c r="P509" s="8">
        <f t="shared" si="16"/>
        <v>44470</v>
      </c>
    </row>
    <row r="510" spans="1:16" x14ac:dyDescent="0.25">
      <c r="A510" s="25"/>
      <c r="N510">
        <v>1</v>
      </c>
      <c r="O510" s="8">
        <v>44490</v>
      </c>
      <c r="P510" s="8">
        <f t="shared" si="16"/>
        <v>44470</v>
      </c>
    </row>
    <row r="511" spans="1:16" x14ac:dyDescent="0.25">
      <c r="A511" s="25"/>
      <c r="N511">
        <v>1</v>
      </c>
      <c r="O511" s="8">
        <v>44491</v>
      </c>
      <c r="P511" s="8">
        <f t="shared" si="16"/>
        <v>44470</v>
      </c>
    </row>
    <row r="512" spans="1:16" x14ac:dyDescent="0.25">
      <c r="A512" s="25"/>
      <c r="N512">
        <v>1</v>
      </c>
      <c r="O512" s="8">
        <v>44492</v>
      </c>
      <c r="P512" s="8">
        <f t="shared" si="16"/>
        <v>44470</v>
      </c>
    </row>
    <row r="513" spans="1:16" x14ac:dyDescent="0.25">
      <c r="A513" s="25"/>
      <c r="N513">
        <v>1</v>
      </c>
      <c r="O513" s="8">
        <v>44607</v>
      </c>
      <c r="P513" s="8">
        <f t="shared" si="16"/>
        <v>44593</v>
      </c>
    </row>
    <row r="514" spans="1:16" x14ac:dyDescent="0.25">
      <c r="A514" s="25"/>
      <c r="N514">
        <v>1</v>
      </c>
      <c r="O514" s="8">
        <v>44444</v>
      </c>
      <c r="P514" s="8">
        <f t="shared" si="16"/>
        <v>44440</v>
      </c>
    </row>
    <row r="515" spans="1:16" x14ac:dyDescent="0.25">
      <c r="A515" s="25"/>
      <c r="N515">
        <v>1</v>
      </c>
      <c r="O515" s="8">
        <v>44460</v>
      </c>
      <c r="P515" s="8">
        <f t="shared" ref="P515:P578" si="17">DATE(YEAR(O515),MONTH(O515),1)</f>
        <v>44440</v>
      </c>
    </row>
    <row r="516" spans="1:16" x14ac:dyDescent="0.25">
      <c r="A516" s="25"/>
      <c r="N516">
        <v>1</v>
      </c>
      <c r="O516" s="8">
        <v>44434</v>
      </c>
      <c r="P516" s="8">
        <f t="shared" si="17"/>
        <v>44409</v>
      </c>
    </row>
    <row r="517" spans="1:16" x14ac:dyDescent="0.25">
      <c r="A517" s="25"/>
      <c r="N517">
        <v>1</v>
      </c>
      <c r="O517" s="8">
        <v>44435</v>
      </c>
      <c r="P517" s="8">
        <f t="shared" si="17"/>
        <v>44409</v>
      </c>
    </row>
    <row r="518" spans="1:16" x14ac:dyDescent="0.25">
      <c r="A518" s="25"/>
      <c r="N518">
        <v>1</v>
      </c>
      <c r="O518" s="8">
        <v>44386</v>
      </c>
      <c r="P518" s="8">
        <f t="shared" si="17"/>
        <v>44378</v>
      </c>
    </row>
    <row r="519" spans="1:16" x14ac:dyDescent="0.25">
      <c r="A519" s="25"/>
      <c r="N519">
        <v>1</v>
      </c>
      <c r="O519" s="8">
        <v>44387</v>
      </c>
      <c r="P519" s="8">
        <f t="shared" si="17"/>
        <v>44378</v>
      </c>
    </row>
    <row r="520" spans="1:16" x14ac:dyDescent="0.25">
      <c r="A520" s="25"/>
      <c r="N520">
        <v>1</v>
      </c>
      <c r="O520" s="8">
        <v>44391</v>
      </c>
      <c r="P520" s="8">
        <f t="shared" si="17"/>
        <v>44378</v>
      </c>
    </row>
    <row r="521" spans="1:16" x14ac:dyDescent="0.25">
      <c r="A521" s="25"/>
      <c r="N521">
        <v>2</v>
      </c>
      <c r="O521" s="8">
        <v>44488</v>
      </c>
      <c r="P521" s="8">
        <f t="shared" si="17"/>
        <v>44470</v>
      </c>
    </row>
    <row r="522" spans="1:16" x14ac:dyDescent="0.25">
      <c r="A522" s="25"/>
      <c r="N522">
        <v>2</v>
      </c>
      <c r="O522" s="8">
        <v>44489</v>
      </c>
      <c r="P522" s="8">
        <f t="shared" si="17"/>
        <v>44470</v>
      </c>
    </row>
    <row r="523" spans="1:16" x14ac:dyDescent="0.25">
      <c r="A523" s="25"/>
      <c r="N523">
        <v>2</v>
      </c>
      <c r="O523" s="8">
        <v>44490</v>
      </c>
      <c r="P523" s="8">
        <f t="shared" si="17"/>
        <v>44470</v>
      </c>
    </row>
    <row r="524" spans="1:16" x14ac:dyDescent="0.25">
      <c r="A524" s="25"/>
      <c r="N524">
        <v>2</v>
      </c>
      <c r="O524" s="8">
        <v>44491</v>
      </c>
      <c r="P524" s="8">
        <f t="shared" si="17"/>
        <v>44470</v>
      </c>
    </row>
    <row r="525" spans="1:16" x14ac:dyDescent="0.25">
      <c r="A525" s="25"/>
      <c r="N525">
        <v>2</v>
      </c>
      <c r="O525" s="8">
        <v>44520</v>
      </c>
      <c r="P525" s="8">
        <f t="shared" si="17"/>
        <v>44501</v>
      </c>
    </row>
    <row r="526" spans="1:16" x14ac:dyDescent="0.25">
      <c r="A526" s="25"/>
      <c r="N526">
        <v>2</v>
      </c>
      <c r="O526" s="8">
        <v>44521</v>
      </c>
      <c r="P526" s="8">
        <f t="shared" si="17"/>
        <v>44501</v>
      </c>
    </row>
    <row r="527" spans="1:16" x14ac:dyDescent="0.25">
      <c r="A527" s="25"/>
      <c r="N527">
        <v>2</v>
      </c>
      <c r="O527" s="8">
        <v>44522</v>
      </c>
      <c r="P527" s="8">
        <f t="shared" si="17"/>
        <v>44501</v>
      </c>
    </row>
    <row r="528" spans="1:16" x14ac:dyDescent="0.25">
      <c r="A528" s="25"/>
      <c r="N528">
        <v>2</v>
      </c>
      <c r="O528" s="8">
        <v>44391</v>
      </c>
      <c r="P528" s="8">
        <f t="shared" si="17"/>
        <v>44378</v>
      </c>
    </row>
    <row r="529" spans="1:16" x14ac:dyDescent="0.25">
      <c r="A529" s="25"/>
      <c r="N529">
        <v>2</v>
      </c>
      <c r="O529" s="8">
        <v>44392</v>
      </c>
      <c r="P529" s="8">
        <f t="shared" si="17"/>
        <v>44378</v>
      </c>
    </row>
    <row r="530" spans="1:16" x14ac:dyDescent="0.25">
      <c r="A530" s="25"/>
      <c r="N530">
        <v>2</v>
      </c>
      <c r="O530" s="8">
        <v>44393</v>
      </c>
      <c r="P530" s="8">
        <f t="shared" si="17"/>
        <v>44378</v>
      </c>
    </row>
    <row r="531" spans="1:16" x14ac:dyDescent="0.25">
      <c r="A531" s="25"/>
      <c r="N531">
        <v>2</v>
      </c>
      <c r="O531" s="8">
        <v>44394</v>
      </c>
      <c r="P531" s="8">
        <f t="shared" si="17"/>
        <v>44378</v>
      </c>
    </row>
    <row r="532" spans="1:16" x14ac:dyDescent="0.25">
      <c r="A532" s="25"/>
      <c r="N532">
        <v>2</v>
      </c>
      <c r="O532" s="8">
        <v>44396</v>
      </c>
      <c r="P532" s="8">
        <f t="shared" si="17"/>
        <v>44378</v>
      </c>
    </row>
    <row r="533" spans="1:16" x14ac:dyDescent="0.25">
      <c r="A533" s="25"/>
      <c r="N533">
        <v>2</v>
      </c>
      <c r="O533" s="8">
        <v>44397</v>
      </c>
      <c r="P533" s="8">
        <f t="shared" si="17"/>
        <v>44378</v>
      </c>
    </row>
    <row r="534" spans="1:16" x14ac:dyDescent="0.25">
      <c r="A534" s="25"/>
      <c r="N534">
        <v>2</v>
      </c>
      <c r="O534" s="8">
        <v>44399</v>
      </c>
      <c r="P534" s="8">
        <f t="shared" si="17"/>
        <v>44378</v>
      </c>
    </row>
    <row r="535" spans="1:16" x14ac:dyDescent="0.25">
      <c r="A535" s="25"/>
      <c r="N535">
        <v>2</v>
      </c>
      <c r="O535" s="8">
        <v>44406</v>
      </c>
      <c r="P535" s="8">
        <f t="shared" si="17"/>
        <v>44378</v>
      </c>
    </row>
    <row r="536" spans="1:16" x14ac:dyDescent="0.25">
      <c r="A536" s="25"/>
      <c r="N536">
        <v>2</v>
      </c>
      <c r="O536" s="8">
        <v>44413</v>
      </c>
      <c r="P536" s="8">
        <f t="shared" si="17"/>
        <v>44409</v>
      </c>
    </row>
    <row r="537" spans="1:16" x14ac:dyDescent="0.25">
      <c r="A537" s="25"/>
      <c r="N537">
        <v>2</v>
      </c>
      <c r="O537" s="8">
        <v>44414</v>
      </c>
      <c r="P537" s="8">
        <f t="shared" si="17"/>
        <v>44409</v>
      </c>
    </row>
    <row r="538" spans="1:16" x14ac:dyDescent="0.25">
      <c r="A538" s="25"/>
      <c r="N538">
        <v>2</v>
      </c>
      <c r="O538" s="8">
        <v>44415</v>
      </c>
      <c r="P538" s="8">
        <f t="shared" si="17"/>
        <v>44409</v>
      </c>
    </row>
    <row r="539" spans="1:16" x14ac:dyDescent="0.25">
      <c r="A539" s="25"/>
      <c r="N539">
        <v>2</v>
      </c>
      <c r="O539" s="8">
        <v>44416</v>
      </c>
      <c r="P539" s="8">
        <f t="shared" si="17"/>
        <v>44409</v>
      </c>
    </row>
    <row r="540" spans="1:16" x14ac:dyDescent="0.25">
      <c r="A540" s="25"/>
      <c r="N540">
        <v>2</v>
      </c>
      <c r="O540" s="8">
        <v>44418</v>
      </c>
      <c r="P540" s="8">
        <f t="shared" si="17"/>
        <v>44409</v>
      </c>
    </row>
    <row r="541" spans="1:16" x14ac:dyDescent="0.25">
      <c r="A541" s="25"/>
      <c r="N541">
        <v>2</v>
      </c>
      <c r="O541" s="8">
        <v>44419</v>
      </c>
      <c r="P541" s="8">
        <f t="shared" si="17"/>
        <v>44409</v>
      </c>
    </row>
    <row r="542" spans="1:16" x14ac:dyDescent="0.25">
      <c r="A542" s="25"/>
      <c r="N542">
        <v>2</v>
      </c>
      <c r="O542" s="8">
        <v>44420</v>
      </c>
      <c r="P542" s="8">
        <f t="shared" si="17"/>
        <v>44409</v>
      </c>
    </row>
    <row r="543" spans="1:16" x14ac:dyDescent="0.25">
      <c r="A543" s="25"/>
      <c r="N543">
        <v>2</v>
      </c>
      <c r="O543" s="8">
        <v>44421</v>
      </c>
      <c r="P543" s="8">
        <f t="shared" si="17"/>
        <v>44409</v>
      </c>
    </row>
    <row r="544" spans="1:16" x14ac:dyDescent="0.25">
      <c r="A544" s="25"/>
      <c r="N544">
        <v>2</v>
      </c>
      <c r="O544" s="8">
        <v>44422</v>
      </c>
      <c r="P544" s="8">
        <f t="shared" si="17"/>
        <v>44409</v>
      </c>
    </row>
    <row r="545" spans="1:16" x14ac:dyDescent="0.25">
      <c r="A545" s="25"/>
      <c r="N545">
        <v>2</v>
      </c>
      <c r="O545" s="8">
        <v>44423</v>
      </c>
      <c r="P545" s="8">
        <f t="shared" si="17"/>
        <v>44409</v>
      </c>
    </row>
    <row r="546" spans="1:16" x14ac:dyDescent="0.25">
      <c r="A546" s="25"/>
      <c r="N546">
        <v>2</v>
      </c>
      <c r="O546" s="8">
        <v>44424</v>
      </c>
      <c r="P546" s="8">
        <f t="shared" si="17"/>
        <v>44409</v>
      </c>
    </row>
    <row r="547" spans="1:16" x14ac:dyDescent="0.25">
      <c r="A547" s="25"/>
      <c r="N547">
        <v>2</v>
      </c>
      <c r="O547" s="8">
        <v>44436</v>
      </c>
      <c r="P547" s="8">
        <f t="shared" si="17"/>
        <v>44409</v>
      </c>
    </row>
    <row r="548" spans="1:16" x14ac:dyDescent="0.25">
      <c r="A548" s="25"/>
      <c r="N548">
        <v>2</v>
      </c>
      <c r="O548" s="8">
        <v>44437</v>
      </c>
      <c r="P548" s="8">
        <f t="shared" si="17"/>
        <v>44409</v>
      </c>
    </row>
    <row r="549" spans="1:16" x14ac:dyDescent="0.25">
      <c r="A549" s="25"/>
      <c r="N549">
        <v>2</v>
      </c>
      <c r="O549" s="8">
        <v>44438</v>
      </c>
      <c r="P549" s="8">
        <f t="shared" si="17"/>
        <v>44409</v>
      </c>
    </row>
    <row r="550" spans="1:16" x14ac:dyDescent="0.25">
      <c r="A550" s="25"/>
      <c r="N550">
        <v>2</v>
      </c>
      <c r="O550" s="8">
        <v>44439</v>
      </c>
      <c r="P550" s="8">
        <f t="shared" si="17"/>
        <v>44409</v>
      </c>
    </row>
    <row r="551" spans="1:16" x14ac:dyDescent="0.25">
      <c r="A551" s="25"/>
      <c r="N551">
        <v>2</v>
      </c>
      <c r="O551" s="8">
        <v>44453</v>
      </c>
      <c r="P551" s="8">
        <f t="shared" si="17"/>
        <v>44440</v>
      </c>
    </row>
    <row r="552" spans="1:16" x14ac:dyDescent="0.25">
      <c r="A552" s="25"/>
      <c r="N552">
        <v>2</v>
      </c>
      <c r="O552" s="8">
        <v>44468</v>
      </c>
      <c r="P552" s="8">
        <f t="shared" si="17"/>
        <v>44440</v>
      </c>
    </row>
    <row r="553" spans="1:16" x14ac:dyDescent="0.25">
      <c r="A553" s="25"/>
      <c r="N553">
        <v>2</v>
      </c>
      <c r="O553" s="8">
        <v>44469</v>
      </c>
      <c r="P553" s="8">
        <f t="shared" si="17"/>
        <v>44440</v>
      </c>
    </row>
    <row r="554" spans="1:16" x14ac:dyDescent="0.25">
      <c r="A554" s="25"/>
      <c r="N554">
        <v>2</v>
      </c>
      <c r="O554" s="8">
        <v>44470</v>
      </c>
      <c r="P554" s="8">
        <f t="shared" si="17"/>
        <v>44470</v>
      </c>
    </row>
    <row r="555" spans="1:16" x14ac:dyDescent="0.25">
      <c r="A555" s="25"/>
      <c r="N555">
        <v>2</v>
      </c>
      <c r="O555" s="8">
        <v>44473</v>
      </c>
      <c r="P555" s="8">
        <f t="shared" si="17"/>
        <v>44470</v>
      </c>
    </row>
    <row r="556" spans="1:16" x14ac:dyDescent="0.25">
      <c r="A556" s="25"/>
      <c r="N556">
        <v>2</v>
      </c>
      <c r="O556" s="8">
        <v>44474</v>
      </c>
      <c r="P556" s="8">
        <f t="shared" si="17"/>
        <v>44470</v>
      </c>
    </row>
    <row r="557" spans="1:16" x14ac:dyDescent="0.25">
      <c r="A557" s="25"/>
      <c r="N557">
        <v>2</v>
      </c>
      <c r="O557" s="8">
        <v>44476</v>
      </c>
      <c r="P557" s="8">
        <f t="shared" si="17"/>
        <v>44470</v>
      </c>
    </row>
    <row r="558" spans="1:16" x14ac:dyDescent="0.25">
      <c r="A558" s="25"/>
      <c r="N558">
        <v>2</v>
      </c>
      <c r="O558" s="8">
        <v>44477</v>
      </c>
      <c r="P558" s="8">
        <f t="shared" si="17"/>
        <v>44470</v>
      </c>
    </row>
    <row r="559" spans="1:16" x14ac:dyDescent="0.25">
      <c r="A559" s="25"/>
      <c r="N559">
        <v>2</v>
      </c>
      <c r="O559" s="8">
        <v>44502</v>
      </c>
      <c r="P559" s="8">
        <f t="shared" si="17"/>
        <v>44501</v>
      </c>
    </row>
    <row r="560" spans="1:16" x14ac:dyDescent="0.25">
      <c r="A560" s="25"/>
      <c r="N560">
        <v>2</v>
      </c>
      <c r="O560" s="8">
        <v>44503</v>
      </c>
      <c r="P560" s="8">
        <f t="shared" si="17"/>
        <v>44501</v>
      </c>
    </row>
    <row r="561" spans="1:16" x14ac:dyDescent="0.25">
      <c r="A561" s="25"/>
      <c r="N561">
        <v>2</v>
      </c>
      <c r="O561" s="8">
        <v>44504</v>
      </c>
      <c r="P561" s="8">
        <f t="shared" si="17"/>
        <v>44501</v>
      </c>
    </row>
    <row r="562" spans="1:16" x14ac:dyDescent="0.25">
      <c r="A562" s="25"/>
      <c r="N562">
        <v>2</v>
      </c>
      <c r="O562" s="8">
        <v>44505</v>
      </c>
      <c r="P562" s="8">
        <f t="shared" si="17"/>
        <v>44501</v>
      </c>
    </row>
    <row r="563" spans="1:16" x14ac:dyDescent="0.25">
      <c r="A563" s="25"/>
      <c r="N563">
        <v>2</v>
      </c>
      <c r="O563" s="8">
        <v>44508</v>
      </c>
      <c r="P563" s="8">
        <f t="shared" si="17"/>
        <v>44501</v>
      </c>
    </row>
    <row r="564" spans="1:16" x14ac:dyDescent="0.25">
      <c r="A564" s="25"/>
      <c r="N564">
        <v>2</v>
      </c>
      <c r="O564" s="8">
        <v>44509</v>
      </c>
      <c r="P564" s="8">
        <f t="shared" si="17"/>
        <v>44501</v>
      </c>
    </row>
    <row r="565" spans="1:16" x14ac:dyDescent="0.25">
      <c r="A565" s="25"/>
      <c r="N565">
        <v>2</v>
      </c>
      <c r="O565" s="8">
        <v>44510</v>
      </c>
      <c r="P565" s="8">
        <f t="shared" si="17"/>
        <v>44501</v>
      </c>
    </row>
    <row r="566" spans="1:16" x14ac:dyDescent="0.25">
      <c r="A566" s="25"/>
      <c r="N566">
        <v>2</v>
      </c>
      <c r="O566" s="8">
        <v>44511</v>
      </c>
      <c r="P566" s="8">
        <f t="shared" si="17"/>
        <v>44501</v>
      </c>
    </row>
    <row r="567" spans="1:16" x14ac:dyDescent="0.25">
      <c r="A567" s="25"/>
      <c r="N567">
        <v>2</v>
      </c>
      <c r="O567" s="8">
        <v>44512</v>
      </c>
      <c r="P567" s="8">
        <f t="shared" si="17"/>
        <v>44501</v>
      </c>
    </row>
    <row r="568" spans="1:16" x14ac:dyDescent="0.25">
      <c r="A568" s="25"/>
      <c r="N568">
        <v>2</v>
      </c>
      <c r="O568" s="8">
        <v>44513</v>
      </c>
      <c r="P568" s="8">
        <f t="shared" si="17"/>
        <v>44501</v>
      </c>
    </row>
    <row r="569" spans="1:16" x14ac:dyDescent="0.25">
      <c r="A569" s="25"/>
      <c r="N569">
        <v>2</v>
      </c>
      <c r="O569" s="8">
        <v>44517</v>
      </c>
      <c r="P569" s="8">
        <f t="shared" si="17"/>
        <v>44501</v>
      </c>
    </row>
    <row r="570" spans="1:16" x14ac:dyDescent="0.25">
      <c r="A570" s="25"/>
      <c r="N570">
        <v>2</v>
      </c>
      <c r="O570" s="8">
        <v>44519</v>
      </c>
      <c r="P570" s="8">
        <f t="shared" si="17"/>
        <v>44501</v>
      </c>
    </row>
    <row r="571" spans="1:16" x14ac:dyDescent="0.25">
      <c r="A571" s="25"/>
      <c r="N571">
        <v>2</v>
      </c>
      <c r="O571" s="8">
        <v>44523</v>
      </c>
      <c r="P571" s="8">
        <f t="shared" si="17"/>
        <v>44501</v>
      </c>
    </row>
    <row r="572" spans="1:16" x14ac:dyDescent="0.25">
      <c r="A572" s="25"/>
      <c r="N572">
        <v>2</v>
      </c>
      <c r="O572" s="8">
        <v>44425</v>
      </c>
      <c r="P572" s="8">
        <f t="shared" si="17"/>
        <v>44409</v>
      </c>
    </row>
    <row r="573" spans="1:16" x14ac:dyDescent="0.25">
      <c r="A573" s="25"/>
      <c r="N573">
        <v>2</v>
      </c>
      <c r="O573" s="8">
        <v>44426</v>
      </c>
      <c r="P573" s="8">
        <f t="shared" si="17"/>
        <v>44409</v>
      </c>
    </row>
    <row r="574" spans="1:16" x14ac:dyDescent="0.25">
      <c r="A574" s="25"/>
      <c r="N574">
        <v>2</v>
      </c>
      <c r="O574" s="8">
        <v>44427</v>
      </c>
      <c r="P574" s="8">
        <f t="shared" si="17"/>
        <v>44409</v>
      </c>
    </row>
    <row r="575" spans="1:16" x14ac:dyDescent="0.25">
      <c r="A575" s="25"/>
      <c r="N575">
        <v>2</v>
      </c>
      <c r="O575" s="8">
        <v>44428</v>
      </c>
      <c r="P575" s="8">
        <f t="shared" si="17"/>
        <v>44409</v>
      </c>
    </row>
    <row r="576" spans="1:16" x14ac:dyDescent="0.25">
      <c r="A576" s="25"/>
      <c r="N576">
        <v>2</v>
      </c>
      <c r="O576" s="8">
        <v>44429</v>
      </c>
      <c r="P576" s="8">
        <f t="shared" si="17"/>
        <v>44409</v>
      </c>
    </row>
    <row r="577" spans="1:16" x14ac:dyDescent="0.25">
      <c r="A577" s="25"/>
      <c r="N577">
        <v>2</v>
      </c>
      <c r="O577" s="8">
        <v>44430</v>
      </c>
      <c r="P577" s="8">
        <f t="shared" si="17"/>
        <v>44409</v>
      </c>
    </row>
    <row r="578" spans="1:16" x14ac:dyDescent="0.25">
      <c r="A578" s="25"/>
      <c r="N578">
        <v>2</v>
      </c>
      <c r="O578" s="8">
        <v>44431</v>
      </c>
      <c r="P578" s="8">
        <f t="shared" si="17"/>
        <v>44409</v>
      </c>
    </row>
    <row r="579" spans="1:16" x14ac:dyDescent="0.25">
      <c r="A579" s="25"/>
      <c r="N579">
        <v>2</v>
      </c>
      <c r="O579" s="8">
        <v>44432</v>
      </c>
      <c r="P579" s="8">
        <f t="shared" ref="P579:P642" si="18">DATE(YEAR(O579),MONTH(O579),1)</f>
        <v>44409</v>
      </c>
    </row>
    <row r="580" spans="1:16" x14ac:dyDescent="0.25">
      <c r="A580" s="25"/>
      <c r="N580">
        <v>2</v>
      </c>
      <c r="O580" s="8">
        <v>44433</v>
      </c>
      <c r="P580" s="8">
        <f t="shared" si="18"/>
        <v>44409</v>
      </c>
    </row>
    <row r="581" spans="1:16" x14ac:dyDescent="0.25">
      <c r="A581" s="25"/>
      <c r="N581">
        <v>2</v>
      </c>
      <c r="O581" s="8">
        <v>44434</v>
      </c>
      <c r="P581" s="8">
        <f t="shared" si="18"/>
        <v>44409</v>
      </c>
    </row>
    <row r="582" spans="1:16" x14ac:dyDescent="0.25">
      <c r="A582" s="25"/>
      <c r="N582">
        <v>2</v>
      </c>
      <c r="O582" s="8">
        <v>44518</v>
      </c>
      <c r="P582" s="8">
        <f t="shared" si="18"/>
        <v>44501</v>
      </c>
    </row>
    <row r="583" spans="1:16" x14ac:dyDescent="0.25">
      <c r="A583" s="25"/>
      <c r="N583">
        <v>2</v>
      </c>
      <c r="O583" s="8">
        <v>44475</v>
      </c>
      <c r="P583" s="8">
        <f t="shared" si="18"/>
        <v>44470</v>
      </c>
    </row>
    <row r="584" spans="1:16" x14ac:dyDescent="0.25">
      <c r="A584" s="25"/>
      <c r="N584">
        <v>2</v>
      </c>
      <c r="O584" s="8">
        <v>44478</v>
      </c>
      <c r="P584" s="8">
        <f t="shared" si="18"/>
        <v>44470</v>
      </c>
    </row>
    <row r="585" spans="1:16" x14ac:dyDescent="0.25">
      <c r="A585" s="25"/>
      <c r="N585">
        <v>2</v>
      </c>
      <c r="O585" s="8">
        <v>44479</v>
      </c>
      <c r="P585" s="8">
        <f t="shared" si="18"/>
        <v>44470</v>
      </c>
    </row>
    <row r="586" spans="1:16" x14ac:dyDescent="0.25">
      <c r="A586" s="25"/>
      <c r="N586">
        <v>2</v>
      </c>
      <c r="O586" s="8">
        <v>44480</v>
      </c>
      <c r="P586" s="8">
        <f t="shared" si="18"/>
        <v>44470</v>
      </c>
    </row>
    <row r="587" spans="1:16" x14ac:dyDescent="0.25">
      <c r="A587" s="25"/>
      <c r="N587">
        <v>2</v>
      </c>
      <c r="O587" s="8">
        <v>44481</v>
      </c>
      <c r="P587" s="8">
        <f t="shared" si="18"/>
        <v>44470</v>
      </c>
    </row>
    <row r="588" spans="1:16" x14ac:dyDescent="0.25">
      <c r="A588" s="25"/>
      <c r="N588">
        <v>2</v>
      </c>
      <c r="O588" s="8">
        <v>44485</v>
      </c>
      <c r="P588" s="8">
        <f t="shared" si="18"/>
        <v>44470</v>
      </c>
    </row>
    <row r="589" spans="1:16" x14ac:dyDescent="0.25">
      <c r="A589" s="25"/>
      <c r="N589">
        <v>2</v>
      </c>
      <c r="O589" s="8">
        <v>44486</v>
      </c>
      <c r="P589" s="8">
        <f t="shared" si="18"/>
        <v>44470</v>
      </c>
    </row>
    <row r="590" spans="1:16" x14ac:dyDescent="0.25">
      <c r="A590" s="25"/>
      <c r="N590">
        <v>2</v>
      </c>
      <c r="O590" s="8">
        <v>44487</v>
      </c>
      <c r="P590" s="8">
        <f t="shared" si="18"/>
        <v>44470</v>
      </c>
    </row>
    <row r="591" spans="1:16" x14ac:dyDescent="0.25">
      <c r="A591" s="25"/>
      <c r="N591">
        <v>2</v>
      </c>
      <c r="O591" s="8">
        <v>44492</v>
      </c>
      <c r="P591" s="8">
        <f t="shared" si="18"/>
        <v>44470</v>
      </c>
    </row>
    <row r="592" spans="1:16" x14ac:dyDescent="0.25">
      <c r="A592" s="25"/>
      <c r="N592">
        <v>2</v>
      </c>
      <c r="O592" s="8">
        <v>44493</v>
      </c>
      <c r="P592" s="8">
        <f t="shared" si="18"/>
        <v>44470</v>
      </c>
    </row>
    <row r="593" spans="1:16" x14ac:dyDescent="0.25">
      <c r="A593" s="25"/>
      <c r="N593">
        <v>2</v>
      </c>
      <c r="O593" s="8">
        <v>44494</v>
      </c>
      <c r="P593" s="8">
        <f t="shared" si="18"/>
        <v>44470</v>
      </c>
    </row>
    <row r="594" spans="1:16" x14ac:dyDescent="0.25">
      <c r="A594" s="25"/>
      <c r="N594">
        <v>2</v>
      </c>
      <c r="O594" s="8">
        <v>44495</v>
      </c>
      <c r="P594" s="8">
        <f t="shared" si="18"/>
        <v>44470</v>
      </c>
    </row>
    <row r="595" spans="1:16" x14ac:dyDescent="0.25">
      <c r="A595" s="25"/>
      <c r="N595">
        <v>2</v>
      </c>
      <c r="O595" s="8">
        <v>44496</v>
      </c>
      <c r="P595" s="8">
        <f t="shared" si="18"/>
        <v>44470</v>
      </c>
    </row>
    <row r="596" spans="1:16" x14ac:dyDescent="0.25">
      <c r="A596" s="25"/>
      <c r="N596">
        <v>2</v>
      </c>
      <c r="O596" s="8">
        <v>44497</v>
      </c>
      <c r="P596" s="8">
        <f t="shared" si="18"/>
        <v>44470</v>
      </c>
    </row>
    <row r="597" spans="1:16" x14ac:dyDescent="0.25">
      <c r="A597" s="25"/>
      <c r="N597">
        <v>2</v>
      </c>
      <c r="O597" s="8">
        <v>44570</v>
      </c>
      <c r="P597" s="8">
        <f t="shared" si="18"/>
        <v>44562</v>
      </c>
    </row>
    <row r="598" spans="1:16" x14ac:dyDescent="0.25">
      <c r="A598" s="25"/>
      <c r="N598">
        <v>2</v>
      </c>
      <c r="O598" s="8">
        <v>44571</v>
      </c>
      <c r="P598" s="8">
        <f t="shared" si="18"/>
        <v>44562</v>
      </c>
    </row>
    <row r="599" spans="1:16" x14ac:dyDescent="0.25">
      <c r="A599" s="25"/>
      <c r="N599">
        <v>2</v>
      </c>
      <c r="O599" s="8">
        <v>44540</v>
      </c>
      <c r="P599" s="8">
        <f t="shared" si="18"/>
        <v>44531</v>
      </c>
    </row>
    <row r="600" spans="1:16" x14ac:dyDescent="0.25">
      <c r="A600" s="25"/>
      <c r="N600">
        <v>2</v>
      </c>
      <c r="O600" s="8">
        <v>44541</v>
      </c>
      <c r="P600" s="8">
        <f t="shared" si="18"/>
        <v>44531</v>
      </c>
    </row>
    <row r="601" spans="1:16" x14ac:dyDescent="0.25">
      <c r="A601" s="25"/>
      <c r="N601">
        <v>2</v>
      </c>
      <c r="O601" s="8">
        <v>44542</v>
      </c>
      <c r="P601" s="8">
        <f t="shared" si="18"/>
        <v>44531</v>
      </c>
    </row>
    <row r="602" spans="1:16" x14ac:dyDescent="0.25">
      <c r="A602" s="25"/>
      <c r="N602">
        <v>2</v>
      </c>
      <c r="O602" s="8">
        <v>44543</v>
      </c>
      <c r="P602" s="8">
        <f t="shared" si="18"/>
        <v>44531</v>
      </c>
    </row>
    <row r="603" spans="1:16" x14ac:dyDescent="0.25">
      <c r="A603" s="25"/>
      <c r="N603">
        <v>2</v>
      </c>
      <c r="O603" s="8">
        <v>44544</v>
      </c>
      <c r="P603" s="8">
        <f t="shared" si="18"/>
        <v>44531</v>
      </c>
    </row>
    <row r="604" spans="1:16" x14ac:dyDescent="0.25">
      <c r="A604" s="25"/>
      <c r="N604">
        <v>2</v>
      </c>
      <c r="O604" s="8">
        <v>44545</v>
      </c>
      <c r="P604" s="8">
        <f t="shared" si="18"/>
        <v>44531</v>
      </c>
    </row>
    <row r="605" spans="1:16" x14ac:dyDescent="0.25">
      <c r="A605" s="25"/>
      <c r="N605">
        <v>2</v>
      </c>
      <c r="O605" s="8">
        <v>44546</v>
      </c>
      <c r="P605" s="8">
        <f t="shared" si="18"/>
        <v>44531</v>
      </c>
    </row>
    <row r="606" spans="1:16" x14ac:dyDescent="0.25">
      <c r="A606" s="25"/>
      <c r="N606">
        <v>2</v>
      </c>
      <c r="O606" s="8">
        <v>44547</v>
      </c>
      <c r="P606" s="8">
        <f t="shared" si="18"/>
        <v>44531</v>
      </c>
    </row>
    <row r="607" spans="1:16" x14ac:dyDescent="0.25">
      <c r="A607" s="25"/>
      <c r="N607">
        <v>2</v>
      </c>
      <c r="O607" s="8">
        <v>44548</v>
      </c>
      <c r="P607" s="8">
        <f t="shared" si="18"/>
        <v>44531</v>
      </c>
    </row>
    <row r="608" spans="1:16" x14ac:dyDescent="0.25">
      <c r="A608" s="25"/>
      <c r="N608">
        <v>2</v>
      </c>
      <c r="O608" s="8">
        <v>44574</v>
      </c>
      <c r="P608" s="8">
        <f t="shared" si="18"/>
        <v>44562</v>
      </c>
    </row>
    <row r="609" spans="1:16" x14ac:dyDescent="0.25">
      <c r="A609" s="25"/>
      <c r="N609">
        <v>2</v>
      </c>
      <c r="O609" s="8">
        <v>44524</v>
      </c>
      <c r="P609" s="8">
        <f t="shared" si="18"/>
        <v>44501</v>
      </c>
    </row>
    <row r="610" spans="1:16" x14ac:dyDescent="0.25">
      <c r="A610" s="25"/>
      <c r="N610">
        <v>2</v>
      </c>
      <c r="O610" s="8">
        <v>44525</v>
      </c>
      <c r="P610" s="8">
        <f t="shared" si="18"/>
        <v>44501</v>
      </c>
    </row>
    <row r="611" spans="1:16" x14ac:dyDescent="0.25">
      <c r="A611" s="25"/>
      <c r="N611">
        <v>2</v>
      </c>
      <c r="O611" s="8">
        <v>44526</v>
      </c>
      <c r="P611" s="8">
        <f t="shared" si="18"/>
        <v>44501</v>
      </c>
    </row>
    <row r="612" spans="1:16" x14ac:dyDescent="0.25">
      <c r="A612" s="25"/>
      <c r="N612">
        <v>2</v>
      </c>
      <c r="O612" s="8">
        <v>44527</v>
      </c>
      <c r="P612" s="8">
        <f t="shared" si="18"/>
        <v>44501</v>
      </c>
    </row>
    <row r="613" spans="1:16" x14ac:dyDescent="0.25">
      <c r="A613" s="25"/>
      <c r="N613">
        <v>2</v>
      </c>
      <c r="O613" s="8">
        <v>44528</v>
      </c>
      <c r="P613" s="8">
        <f t="shared" si="18"/>
        <v>44501</v>
      </c>
    </row>
    <row r="614" spans="1:16" x14ac:dyDescent="0.25">
      <c r="A614" s="25"/>
      <c r="N614">
        <v>2</v>
      </c>
      <c r="O614" s="8">
        <v>44529</v>
      </c>
      <c r="P614" s="8">
        <f t="shared" si="18"/>
        <v>44501</v>
      </c>
    </row>
    <row r="615" spans="1:16" x14ac:dyDescent="0.25">
      <c r="A615" s="25"/>
      <c r="N615">
        <v>2</v>
      </c>
      <c r="O615" s="8">
        <v>44530</v>
      </c>
      <c r="P615" s="8">
        <f t="shared" si="18"/>
        <v>44501</v>
      </c>
    </row>
    <row r="616" spans="1:16" x14ac:dyDescent="0.25">
      <c r="A616" s="25"/>
      <c r="N616">
        <v>2</v>
      </c>
      <c r="O616" s="8">
        <v>44531</v>
      </c>
      <c r="P616" s="8">
        <f t="shared" si="18"/>
        <v>44531</v>
      </c>
    </row>
    <row r="617" spans="1:16" x14ac:dyDescent="0.25">
      <c r="A617" s="25"/>
      <c r="N617">
        <v>2</v>
      </c>
      <c r="O617" s="8">
        <v>44532</v>
      </c>
      <c r="P617" s="8">
        <f t="shared" si="18"/>
        <v>44531</v>
      </c>
    </row>
    <row r="618" spans="1:16" x14ac:dyDescent="0.25">
      <c r="A618" s="25"/>
      <c r="N618">
        <v>2</v>
      </c>
      <c r="O618" s="8">
        <v>44533</v>
      </c>
      <c r="P618" s="8">
        <f t="shared" si="18"/>
        <v>44531</v>
      </c>
    </row>
    <row r="619" spans="1:16" x14ac:dyDescent="0.25">
      <c r="A619" s="25"/>
      <c r="N619">
        <v>2</v>
      </c>
      <c r="O619" s="8">
        <v>44534</v>
      </c>
      <c r="P619" s="8">
        <f t="shared" si="18"/>
        <v>44531</v>
      </c>
    </row>
    <row r="620" spans="1:16" x14ac:dyDescent="0.25">
      <c r="A620" s="25"/>
      <c r="N620">
        <v>2</v>
      </c>
      <c r="O620" s="8">
        <v>44535</v>
      </c>
      <c r="P620" s="8">
        <f t="shared" si="18"/>
        <v>44531</v>
      </c>
    </row>
    <row r="621" spans="1:16" x14ac:dyDescent="0.25">
      <c r="A621" s="25"/>
      <c r="N621">
        <v>2</v>
      </c>
      <c r="O621" s="8">
        <v>44536</v>
      </c>
      <c r="P621" s="8">
        <f t="shared" si="18"/>
        <v>44531</v>
      </c>
    </row>
    <row r="622" spans="1:16" x14ac:dyDescent="0.25">
      <c r="A622" s="25"/>
      <c r="N622">
        <v>2</v>
      </c>
      <c r="O622" s="8">
        <v>44537</v>
      </c>
      <c r="P622" s="8">
        <f t="shared" si="18"/>
        <v>44531</v>
      </c>
    </row>
    <row r="623" spans="1:16" x14ac:dyDescent="0.25">
      <c r="A623" s="25"/>
      <c r="N623">
        <v>2</v>
      </c>
      <c r="O623" s="8">
        <v>44538</v>
      </c>
      <c r="P623" s="8">
        <f t="shared" si="18"/>
        <v>44531</v>
      </c>
    </row>
    <row r="624" spans="1:16" x14ac:dyDescent="0.25">
      <c r="A624" s="25"/>
      <c r="N624">
        <v>2</v>
      </c>
      <c r="O624" s="8">
        <v>44539</v>
      </c>
      <c r="P624" s="8">
        <f t="shared" si="18"/>
        <v>44531</v>
      </c>
    </row>
    <row r="625" spans="1:16" x14ac:dyDescent="0.25">
      <c r="A625" s="25"/>
      <c r="N625">
        <v>2</v>
      </c>
      <c r="O625" s="8">
        <v>44623</v>
      </c>
      <c r="P625" s="8">
        <f t="shared" si="18"/>
        <v>44621</v>
      </c>
    </row>
    <row r="626" spans="1:16" x14ac:dyDescent="0.25">
      <c r="A626" s="25"/>
      <c r="N626">
        <v>2</v>
      </c>
      <c r="O626" s="8">
        <v>44435</v>
      </c>
      <c r="P626" s="8">
        <f t="shared" si="18"/>
        <v>44409</v>
      </c>
    </row>
    <row r="627" spans="1:16" x14ac:dyDescent="0.25">
      <c r="A627" s="25"/>
      <c r="N627">
        <v>2</v>
      </c>
      <c r="O627" s="8">
        <v>44440</v>
      </c>
      <c r="P627" s="8">
        <f t="shared" si="18"/>
        <v>44440</v>
      </c>
    </row>
    <row r="628" spans="1:16" x14ac:dyDescent="0.25">
      <c r="A628" s="25"/>
      <c r="N628">
        <v>2</v>
      </c>
      <c r="O628" s="8">
        <v>44441</v>
      </c>
      <c r="P628" s="8">
        <f t="shared" si="18"/>
        <v>44440</v>
      </c>
    </row>
    <row r="629" spans="1:16" x14ac:dyDescent="0.25">
      <c r="A629" s="25"/>
      <c r="N629">
        <v>2</v>
      </c>
      <c r="O629" s="8">
        <v>44460</v>
      </c>
      <c r="P629" s="8">
        <f t="shared" si="18"/>
        <v>44440</v>
      </c>
    </row>
    <row r="630" spans="1:16" x14ac:dyDescent="0.25">
      <c r="A630" s="25"/>
      <c r="N630">
        <v>2</v>
      </c>
      <c r="O630" s="8">
        <v>44461</v>
      </c>
      <c r="P630" s="8">
        <f t="shared" si="18"/>
        <v>44440</v>
      </c>
    </row>
    <row r="631" spans="1:16" x14ac:dyDescent="0.25">
      <c r="A631" s="25"/>
      <c r="N631">
        <v>2</v>
      </c>
      <c r="O631" s="8">
        <v>44463</v>
      </c>
      <c r="P631" s="8">
        <f t="shared" si="18"/>
        <v>44440</v>
      </c>
    </row>
    <row r="632" spans="1:16" x14ac:dyDescent="0.25">
      <c r="A632" s="25"/>
      <c r="N632">
        <v>2</v>
      </c>
      <c r="O632" s="8">
        <v>44464</v>
      </c>
      <c r="P632" s="8">
        <f t="shared" si="18"/>
        <v>44440</v>
      </c>
    </row>
    <row r="633" spans="1:16" x14ac:dyDescent="0.25">
      <c r="A633" s="25"/>
      <c r="N633">
        <v>2</v>
      </c>
      <c r="O633" s="8">
        <v>44465</v>
      </c>
      <c r="P633" s="8">
        <f t="shared" si="18"/>
        <v>44440</v>
      </c>
    </row>
    <row r="634" spans="1:16" x14ac:dyDescent="0.25">
      <c r="A634" s="25"/>
      <c r="N634">
        <v>2</v>
      </c>
      <c r="O634" s="8">
        <v>44466</v>
      </c>
      <c r="P634" s="8">
        <f t="shared" si="18"/>
        <v>44440</v>
      </c>
    </row>
    <row r="635" spans="1:16" x14ac:dyDescent="0.25">
      <c r="A635" s="25"/>
      <c r="N635">
        <v>2</v>
      </c>
      <c r="O635" s="8">
        <v>44467</v>
      </c>
      <c r="P635" s="8">
        <f t="shared" si="18"/>
        <v>44440</v>
      </c>
    </row>
    <row r="636" spans="1:16" x14ac:dyDescent="0.25">
      <c r="A636" s="25"/>
      <c r="N636">
        <v>2</v>
      </c>
      <c r="O636" s="8">
        <v>44498</v>
      </c>
      <c r="P636" s="8">
        <f t="shared" si="18"/>
        <v>44470</v>
      </c>
    </row>
    <row r="637" spans="1:16" x14ac:dyDescent="0.25">
      <c r="A637" s="25"/>
      <c r="N637">
        <v>2</v>
      </c>
      <c r="O637" s="8">
        <v>44514</v>
      </c>
      <c r="P637" s="8">
        <f t="shared" si="18"/>
        <v>44501</v>
      </c>
    </row>
    <row r="638" spans="1:16" x14ac:dyDescent="0.25">
      <c r="A638" s="25"/>
      <c r="N638">
        <v>2</v>
      </c>
      <c r="O638" s="8">
        <v>44515</v>
      </c>
      <c r="P638" s="8">
        <f t="shared" si="18"/>
        <v>44501</v>
      </c>
    </row>
    <row r="639" spans="1:16" x14ac:dyDescent="0.25">
      <c r="A639" s="25"/>
      <c r="N639">
        <v>2</v>
      </c>
      <c r="O639" s="8">
        <v>44516</v>
      </c>
      <c r="P639" s="8">
        <f t="shared" si="18"/>
        <v>44501</v>
      </c>
    </row>
    <row r="640" spans="1:16" x14ac:dyDescent="0.25">
      <c r="A640" s="25"/>
      <c r="N640">
        <v>2</v>
      </c>
      <c r="O640" s="8">
        <v>44389</v>
      </c>
      <c r="P640" s="8">
        <f t="shared" si="18"/>
        <v>44378</v>
      </c>
    </row>
    <row r="641" spans="1:16" x14ac:dyDescent="0.25">
      <c r="A641" s="25"/>
      <c r="N641">
        <v>2</v>
      </c>
      <c r="O641" s="8">
        <v>44395</v>
      </c>
      <c r="P641" s="8">
        <f t="shared" si="18"/>
        <v>44378</v>
      </c>
    </row>
    <row r="642" spans="1:16" x14ac:dyDescent="0.25">
      <c r="A642" s="25"/>
      <c r="N642">
        <v>2</v>
      </c>
      <c r="O642" s="8">
        <v>44398</v>
      </c>
      <c r="P642" s="8">
        <f t="shared" si="18"/>
        <v>44378</v>
      </c>
    </row>
    <row r="643" spans="1:16" x14ac:dyDescent="0.25">
      <c r="A643" s="25"/>
      <c r="N643">
        <v>2</v>
      </c>
      <c r="O643" s="8">
        <v>44400</v>
      </c>
      <c r="P643" s="8">
        <f t="shared" ref="P643:P706" si="19">DATE(YEAR(O643),MONTH(O643),1)</f>
        <v>44378</v>
      </c>
    </row>
    <row r="644" spans="1:16" x14ac:dyDescent="0.25">
      <c r="A644" s="25"/>
      <c r="N644">
        <v>2</v>
      </c>
      <c r="O644" s="8">
        <v>44401</v>
      </c>
      <c r="P644" s="8">
        <f t="shared" si="19"/>
        <v>44378</v>
      </c>
    </row>
    <row r="645" spans="1:16" x14ac:dyDescent="0.25">
      <c r="A645" s="25"/>
      <c r="N645">
        <v>2</v>
      </c>
      <c r="O645" s="8">
        <v>44402</v>
      </c>
      <c r="P645" s="8">
        <f t="shared" si="19"/>
        <v>44378</v>
      </c>
    </row>
    <row r="646" spans="1:16" x14ac:dyDescent="0.25">
      <c r="A646" s="25"/>
      <c r="N646">
        <v>2</v>
      </c>
      <c r="O646" s="8">
        <v>44403</v>
      </c>
      <c r="P646" s="8">
        <f t="shared" si="19"/>
        <v>44378</v>
      </c>
    </row>
    <row r="647" spans="1:16" x14ac:dyDescent="0.25">
      <c r="A647" s="25"/>
      <c r="N647">
        <v>2</v>
      </c>
      <c r="O647" s="8">
        <v>44404</v>
      </c>
      <c r="P647" s="8">
        <f t="shared" si="19"/>
        <v>44378</v>
      </c>
    </row>
    <row r="648" spans="1:16" x14ac:dyDescent="0.25">
      <c r="A648" s="25"/>
      <c r="N648">
        <v>2</v>
      </c>
      <c r="O648" s="8">
        <v>44405</v>
      </c>
      <c r="P648" s="8">
        <f t="shared" si="19"/>
        <v>44378</v>
      </c>
    </row>
    <row r="649" spans="1:16" x14ac:dyDescent="0.25">
      <c r="A649" s="25"/>
      <c r="N649">
        <v>2</v>
      </c>
      <c r="O649" s="8">
        <v>44484</v>
      </c>
      <c r="P649" s="8">
        <f t="shared" si="19"/>
        <v>44470</v>
      </c>
    </row>
    <row r="650" spans="1:16" x14ac:dyDescent="0.25">
      <c r="A650" s="25"/>
      <c r="N650">
        <v>2</v>
      </c>
      <c r="O650" s="8">
        <v>44568</v>
      </c>
      <c r="P650" s="8">
        <f t="shared" si="19"/>
        <v>44562</v>
      </c>
    </row>
    <row r="651" spans="1:16" x14ac:dyDescent="0.25">
      <c r="A651" s="25"/>
      <c r="N651">
        <v>3</v>
      </c>
      <c r="O651" s="8">
        <v>44486</v>
      </c>
      <c r="P651" s="8">
        <f t="shared" si="19"/>
        <v>44470</v>
      </c>
    </row>
    <row r="652" spans="1:16" x14ac:dyDescent="0.25">
      <c r="A652" s="25"/>
      <c r="N652">
        <v>3</v>
      </c>
      <c r="O652" s="8">
        <v>44495</v>
      </c>
      <c r="P652" s="8">
        <f t="shared" si="19"/>
        <v>44470</v>
      </c>
    </row>
    <row r="653" spans="1:16" x14ac:dyDescent="0.25">
      <c r="A653" s="25"/>
      <c r="N653">
        <v>3</v>
      </c>
      <c r="O653" s="8">
        <v>44616</v>
      </c>
      <c r="P653" s="8">
        <f t="shared" si="19"/>
        <v>44593</v>
      </c>
    </row>
    <row r="654" spans="1:16" x14ac:dyDescent="0.25">
      <c r="A654" s="25"/>
      <c r="N654">
        <v>3</v>
      </c>
      <c r="O654" s="8">
        <v>44618</v>
      </c>
      <c r="P654" s="8">
        <f t="shared" si="19"/>
        <v>44593</v>
      </c>
    </row>
    <row r="655" spans="1:16" x14ac:dyDescent="0.25">
      <c r="A655" s="25"/>
      <c r="N655">
        <v>3</v>
      </c>
      <c r="O655" s="8">
        <v>44619</v>
      </c>
      <c r="P655" s="8">
        <f t="shared" si="19"/>
        <v>44593</v>
      </c>
    </row>
    <row r="656" spans="1:16" x14ac:dyDescent="0.25">
      <c r="A656" s="25"/>
      <c r="N656">
        <v>3</v>
      </c>
      <c r="O656" s="8">
        <v>44620</v>
      </c>
      <c r="P656" s="8">
        <f t="shared" si="19"/>
        <v>44593</v>
      </c>
    </row>
    <row r="657" spans="1:16" x14ac:dyDescent="0.25">
      <c r="A657" s="25"/>
      <c r="N657">
        <v>3</v>
      </c>
      <c r="O657" s="8">
        <v>44621</v>
      </c>
      <c r="P657" s="8">
        <f t="shared" si="19"/>
        <v>44621</v>
      </c>
    </row>
    <row r="658" spans="1:16" x14ac:dyDescent="0.25">
      <c r="A658" s="25"/>
      <c r="N658">
        <v>3</v>
      </c>
      <c r="O658" s="8">
        <v>44622</v>
      </c>
      <c r="P658" s="8">
        <f t="shared" si="19"/>
        <v>44621</v>
      </c>
    </row>
    <row r="659" spans="1:16" x14ac:dyDescent="0.25">
      <c r="A659" s="25"/>
      <c r="N659">
        <v>3</v>
      </c>
      <c r="O659" s="8">
        <v>44623</v>
      </c>
      <c r="P659" s="8">
        <f t="shared" si="19"/>
        <v>44621</v>
      </c>
    </row>
    <row r="660" spans="1:16" x14ac:dyDescent="0.25">
      <c r="A660" s="25"/>
      <c r="N660">
        <v>3</v>
      </c>
      <c r="O660" s="8">
        <v>44624</v>
      </c>
      <c r="P660" s="8">
        <f t="shared" si="19"/>
        <v>44621</v>
      </c>
    </row>
    <row r="661" spans="1:16" x14ac:dyDescent="0.25">
      <c r="A661" s="25"/>
      <c r="N661">
        <v>3</v>
      </c>
      <c r="O661" s="8">
        <v>44398</v>
      </c>
      <c r="P661" s="8">
        <f t="shared" si="19"/>
        <v>44378</v>
      </c>
    </row>
    <row r="662" spans="1:16" x14ac:dyDescent="0.25">
      <c r="A662" s="25"/>
      <c r="N662">
        <v>3</v>
      </c>
      <c r="O662" s="8">
        <v>44399</v>
      </c>
      <c r="P662" s="8">
        <f t="shared" si="19"/>
        <v>44378</v>
      </c>
    </row>
    <row r="663" spans="1:16" x14ac:dyDescent="0.25">
      <c r="A663" s="25"/>
      <c r="N663">
        <v>3</v>
      </c>
      <c r="O663" s="8">
        <v>44400</v>
      </c>
      <c r="P663" s="8">
        <f t="shared" si="19"/>
        <v>44378</v>
      </c>
    </row>
    <row r="664" spans="1:16" x14ac:dyDescent="0.25">
      <c r="A664" s="25"/>
      <c r="N664">
        <v>3</v>
      </c>
      <c r="O664" s="8">
        <v>44401</v>
      </c>
      <c r="P664" s="8">
        <f t="shared" si="19"/>
        <v>44378</v>
      </c>
    </row>
    <row r="665" spans="1:16" x14ac:dyDescent="0.25">
      <c r="A665" s="25"/>
      <c r="N665">
        <v>3</v>
      </c>
      <c r="O665" s="8">
        <v>44402</v>
      </c>
      <c r="P665" s="8">
        <f t="shared" si="19"/>
        <v>44378</v>
      </c>
    </row>
    <row r="666" spans="1:16" x14ac:dyDescent="0.25">
      <c r="A666" s="25"/>
      <c r="N666">
        <v>3</v>
      </c>
      <c r="O666" s="8">
        <v>44403</v>
      </c>
      <c r="P666" s="8">
        <f t="shared" si="19"/>
        <v>44378</v>
      </c>
    </row>
    <row r="667" spans="1:16" x14ac:dyDescent="0.25">
      <c r="A667" s="25"/>
      <c r="N667">
        <v>3</v>
      </c>
      <c r="O667" s="8">
        <v>44420</v>
      </c>
      <c r="P667" s="8">
        <f t="shared" si="19"/>
        <v>44409</v>
      </c>
    </row>
    <row r="668" spans="1:16" x14ac:dyDescent="0.25">
      <c r="A668" s="25"/>
      <c r="N668">
        <v>3</v>
      </c>
      <c r="O668" s="8">
        <v>44421</v>
      </c>
      <c r="P668" s="8">
        <f t="shared" si="19"/>
        <v>44409</v>
      </c>
    </row>
    <row r="669" spans="1:16" x14ac:dyDescent="0.25">
      <c r="A669" s="25"/>
      <c r="N669">
        <v>3</v>
      </c>
      <c r="O669" s="8">
        <v>44424</v>
      </c>
      <c r="P669" s="8">
        <f t="shared" si="19"/>
        <v>44409</v>
      </c>
    </row>
    <row r="670" spans="1:16" x14ac:dyDescent="0.25">
      <c r="A670" s="25"/>
      <c r="N670">
        <v>3</v>
      </c>
      <c r="O670" s="8">
        <v>44425</v>
      </c>
      <c r="P670" s="8">
        <f t="shared" si="19"/>
        <v>44409</v>
      </c>
    </row>
    <row r="671" spans="1:16" x14ac:dyDescent="0.25">
      <c r="A671" s="25"/>
      <c r="N671">
        <v>3</v>
      </c>
      <c r="O671" s="8">
        <v>44426</v>
      </c>
      <c r="P671" s="8">
        <f t="shared" si="19"/>
        <v>44409</v>
      </c>
    </row>
    <row r="672" spans="1:16" x14ac:dyDescent="0.25">
      <c r="A672" s="25"/>
      <c r="N672">
        <v>3</v>
      </c>
      <c r="O672" s="8">
        <v>44427</v>
      </c>
      <c r="P672" s="8">
        <f t="shared" si="19"/>
        <v>44409</v>
      </c>
    </row>
    <row r="673" spans="1:16" x14ac:dyDescent="0.25">
      <c r="A673" s="25"/>
      <c r="N673">
        <v>3</v>
      </c>
      <c r="O673" s="8">
        <v>44429</v>
      </c>
      <c r="P673" s="8">
        <f t="shared" si="19"/>
        <v>44409</v>
      </c>
    </row>
    <row r="674" spans="1:16" x14ac:dyDescent="0.25">
      <c r="A674" s="25"/>
      <c r="N674">
        <v>3</v>
      </c>
      <c r="O674" s="8">
        <v>44433</v>
      </c>
      <c r="P674" s="8">
        <f t="shared" si="19"/>
        <v>44409</v>
      </c>
    </row>
    <row r="675" spans="1:16" x14ac:dyDescent="0.25">
      <c r="A675" s="25"/>
      <c r="N675">
        <v>3</v>
      </c>
      <c r="O675" s="8">
        <v>44452</v>
      </c>
      <c r="P675" s="8">
        <f t="shared" si="19"/>
        <v>44440</v>
      </c>
    </row>
    <row r="676" spans="1:16" x14ac:dyDescent="0.25">
      <c r="A676" s="25"/>
      <c r="N676">
        <v>3</v>
      </c>
      <c r="O676" s="8">
        <v>44493</v>
      </c>
      <c r="P676" s="8">
        <f t="shared" si="19"/>
        <v>44470</v>
      </c>
    </row>
    <row r="677" spans="1:16" x14ac:dyDescent="0.25">
      <c r="A677" s="25"/>
      <c r="N677">
        <v>3</v>
      </c>
      <c r="O677" s="8">
        <v>44496</v>
      </c>
      <c r="P677" s="8">
        <f t="shared" si="19"/>
        <v>44470</v>
      </c>
    </row>
    <row r="678" spans="1:16" x14ac:dyDescent="0.25">
      <c r="A678" s="25"/>
      <c r="N678">
        <v>3</v>
      </c>
      <c r="O678" s="8">
        <v>44497</v>
      </c>
      <c r="P678" s="8">
        <f t="shared" si="19"/>
        <v>44470</v>
      </c>
    </row>
    <row r="679" spans="1:16" x14ac:dyDescent="0.25">
      <c r="A679" s="25"/>
      <c r="N679">
        <v>3</v>
      </c>
      <c r="O679" s="8">
        <v>44498</v>
      </c>
      <c r="P679" s="8">
        <f t="shared" si="19"/>
        <v>44470</v>
      </c>
    </row>
    <row r="680" spans="1:16" x14ac:dyDescent="0.25">
      <c r="A680" s="25"/>
      <c r="N680">
        <v>3</v>
      </c>
      <c r="O680" s="8">
        <v>44499</v>
      </c>
      <c r="P680" s="8">
        <f t="shared" si="19"/>
        <v>44470</v>
      </c>
    </row>
    <row r="681" spans="1:16" x14ac:dyDescent="0.25">
      <c r="A681" s="25"/>
      <c r="N681">
        <v>3</v>
      </c>
      <c r="O681" s="8">
        <v>44500</v>
      </c>
      <c r="P681" s="8">
        <f t="shared" si="19"/>
        <v>44470</v>
      </c>
    </row>
    <row r="682" spans="1:16" x14ac:dyDescent="0.25">
      <c r="A682" s="25"/>
      <c r="N682">
        <v>3</v>
      </c>
      <c r="O682" s="8">
        <v>44588</v>
      </c>
      <c r="P682" s="8">
        <f t="shared" si="19"/>
        <v>44562</v>
      </c>
    </row>
    <row r="683" spans="1:16" x14ac:dyDescent="0.25">
      <c r="A683" s="25"/>
      <c r="N683">
        <v>3</v>
      </c>
      <c r="O683" s="8">
        <v>44589</v>
      </c>
      <c r="P683" s="8">
        <f t="shared" si="19"/>
        <v>44562</v>
      </c>
    </row>
    <row r="684" spans="1:16" x14ac:dyDescent="0.25">
      <c r="A684" s="25"/>
      <c r="N684">
        <v>3</v>
      </c>
      <c r="O684" s="8">
        <v>44590</v>
      </c>
      <c r="P684" s="8">
        <f t="shared" si="19"/>
        <v>44562</v>
      </c>
    </row>
    <row r="685" spans="1:16" x14ac:dyDescent="0.25">
      <c r="A685" s="25"/>
      <c r="N685">
        <v>3</v>
      </c>
      <c r="O685" s="8">
        <v>44609</v>
      </c>
      <c r="P685" s="8">
        <f t="shared" si="19"/>
        <v>44593</v>
      </c>
    </row>
    <row r="686" spans="1:16" x14ac:dyDescent="0.25">
      <c r="A686" s="25"/>
      <c r="N686">
        <v>3</v>
      </c>
      <c r="O686" s="8">
        <v>44610</v>
      </c>
      <c r="P686" s="8">
        <f t="shared" si="19"/>
        <v>44593</v>
      </c>
    </row>
    <row r="687" spans="1:16" x14ac:dyDescent="0.25">
      <c r="A687" s="25"/>
      <c r="N687">
        <v>3</v>
      </c>
      <c r="O687" s="8">
        <v>44611</v>
      </c>
      <c r="P687" s="8">
        <f t="shared" si="19"/>
        <v>44593</v>
      </c>
    </row>
    <row r="688" spans="1:16" x14ac:dyDescent="0.25">
      <c r="A688" s="25"/>
      <c r="N688">
        <v>3</v>
      </c>
      <c r="O688" s="8">
        <v>44612</v>
      </c>
      <c r="P688" s="8">
        <f t="shared" si="19"/>
        <v>44593</v>
      </c>
    </row>
    <row r="689" spans="1:16" x14ac:dyDescent="0.25">
      <c r="A689" s="25"/>
      <c r="N689">
        <v>3</v>
      </c>
      <c r="O689" s="8">
        <v>44613</v>
      </c>
      <c r="P689" s="8">
        <f t="shared" si="19"/>
        <v>44593</v>
      </c>
    </row>
    <row r="690" spans="1:16" x14ac:dyDescent="0.25">
      <c r="A690" s="25"/>
      <c r="N690">
        <v>3</v>
      </c>
      <c r="O690" s="8">
        <v>44614</v>
      </c>
      <c r="P690" s="8">
        <f t="shared" si="19"/>
        <v>44593</v>
      </c>
    </row>
    <row r="691" spans="1:16" x14ac:dyDescent="0.25">
      <c r="A691" s="25"/>
      <c r="N691">
        <v>3</v>
      </c>
      <c r="O691" s="8">
        <v>44615</v>
      </c>
      <c r="P691" s="8">
        <f t="shared" si="19"/>
        <v>44593</v>
      </c>
    </row>
    <row r="692" spans="1:16" x14ac:dyDescent="0.25">
      <c r="A692" s="25"/>
      <c r="N692">
        <v>3</v>
      </c>
      <c r="O692" s="8">
        <v>44617</v>
      </c>
      <c r="P692" s="8">
        <f t="shared" si="19"/>
        <v>44593</v>
      </c>
    </row>
    <row r="693" spans="1:16" x14ac:dyDescent="0.25">
      <c r="A693" s="25"/>
      <c r="N693">
        <v>3</v>
      </c>
      <c r="O693" s="8">
        <v>44625</v>
      </c>
      <c r="P693" s="8">
        <f t="shared" si="19"/>
        <v>44621</v>
      </c>
    </row>
    <row r="694" spans="1:16" x14ac:dyDescent="0.25">
      <c r="A694" s="25"/>
      <c r="N694">
        <v>3</v>
      </c>
      <c r="O694" s="8">
        <v>44626</v>
      </c>
      <c r="P694" s="8">
        <f t="shared" si="19"/>
        <v>44621</v>
      </c>
    </row>
    <row r="695" spans="1:16" x14ac:dyDescent="0.25">
      <c r="A695" s="25"/>
      <c r="N695">
        <v>3</v>
      </c>
      <c r="O695" s="8">
        <v>44627</v>
      </c>
      <c r="P695" s="8">
        <f t="shared" si="19"/>
        <v>44621</v>
      </c>
    </row>
    <row r="696" spans="1:16" x14ac:dyDescent="0.25">
      <c r="A696" s="25"/>
      <c r="N696">
        <v>3</v>
      </c>
      <c r="O696" s="8">
        <v>44628</v>
      </c>
      <c r="P696" s="8">
        <f t="shared" si="19"/>
        <v>44621</v>
      </c>
    </row>
    <row r="697" spans="1:16" x14ac:dyDescent="0.25">
      <c r="A697" s="25"/>
      <c r="N697">
        <v>3</v>
      </c>
      <c r="O697" s="8">
        <v>44632</v>
      </c>
      <c r="P697" s="8">
        <f t="shared" si="19"/>
        <v>44621</v>
      </c>
    </row>
    <row r="698" spans="1:16" x14ac:dyDescent="0.25">
      <c r="A698" s="25"/>
      <c r="N698">
        <v>3</v>
      </c>
      <c r="O698" s="8">
        <v>44633</v>
      </c>
      <c r="P698" s="8">
        <f t="shared" si="19"/>
        <v>44621</v>
      </c>
    </row>
    <row r="699" spans="1:16" x14ac:dyDescent="0.25">
      <c r="A699" s="25"/>
      <c r="N699">
        <v>3</v>
      </c>
      <c r="O699" s="8">
        <v>44634</v>
      </c>
      <c r="P699" s="8">
        <f t="shared" si="19"/>
        <v>44621</v>
      </c>
    </row>
    <row r="700" spans="1:16" x14ac:dyDescent="0.25">
      <c r="A700" s="25"/>
      <c r="N700">
        <v>3</v>
      </c>
      <c r="O700" s="8">
        <v>44635</v>
      </c>
      <c r="P700" s="8">
        <f t="shared" si="19"/>
        <v>44621</v>
      </c>
    </row>
    <row r="701" spans="1:16" x14ac:dyDescent="0.25">
      <c r="A701" s="25"/>
      <c r="N701">
        <v>3</v>
      </c>
      <c r="O701" s="8">
        <v>44636</v>
      </c>
      <c r="P701" s="8">
        <f t="shared" si="19"/>
        <v>44621</v>
      </c>
    </row>
    <row r="702" spans="1:16" x14ac:dyDescent="0.25">
      <c r="A702" s="25"/>
      <c r="N702">
        <v>3</v>
      </c>
      <c r="O702" s="8">
        <v>44637</v>
      </c>
      <c r="P702" s="8">
        <f t="shared" si="19"/>
        <v>44621</v>
      </c>
    </row>
    <row r="703" spans="1:16" x14ac:dyDescent="0.25">
      <c r="A703" s="25"/>
      <c r="N703">
        <v>3</v>
      </c>
      <c r="O703" s="8">
        <v>44638</v>
      </c>
      <c r="P703" s="8">
        <f t="shared" si="19"/>
        <v>44621</v>
      </c>
    </row>
    <row r="704" spans="1:16" x14ac:dyDescent="0.25">
      <c r="A704" s="25"/>
      <c r="N704">
        <v>3</v>
      </c>
      <c r="O704" s="8">
        <v>44645</v>
      </c>
      <c r="P704" s="8">
        <f t="shared" si="19"/>
        <v>44621</v>
      </c>
    </row>
    <row r="705" spans="1:16" x14ac:dyDescent="0.25">
      <c r="A705" s="25"/>
      <c r="N705">
        <v>3</v>
      </c>
      <c r="O705" s="8">
        <v>44373</v>
      </c>
      <c r="P705" s="8">
        <f t="shared" si="19"/>
        <v>44348</v>
      </c>
    </row>
    <row r="706" spans="1:16" x14ac:dyDescent="0.25">
      <c r="A706" s="25"/>
      <c r="N706">
        <v>3</v>
      </c>
      <c r="O706" s="8">
        <v>44374</v>
      </c>
      <c r="P706" s="8">
        <f t="shared" si="19"/>
        <v>44348</v>
      </c>
    </row>
    <row r="707" spans="1:16" x14ac:dyDescent="0.25">
      <c r="A707" s="25"/>
      <c r="N707">
        <v>3</v>
      </c>
      <c r="O707" s="8">
        <v>44375</v>
      </c>
      <c r="P707" s="8">
        <f t="shared" ref="P707:P770" si="20">DATE(YEAR(O707),MONTH(O707),1)</f>
        <v>44348</v>
      </c>
    </row>
    <row r="708" spans="1:16" x14ac:dyDescent="0.25">
      <c r="A708" s="25"/>
      <c r="N708">
        <v>3</v>
      </c>
      <c r="O708" s="8">
        <v>44376</v>
      </c>
      <c r="P708" s="8">
        <f t="shared" si="20"/>
        <v>44348</v>
      </c>
    </row>
    <row r="709" spans="1:16" x14ac:dyDescent="0.25">
      <c r="A709" s="25"/>
      <c r="N709">
        <v>3</v>
      </c>
      <c r="O709" s="8">
        <v>44377</v>
      </c>
      <c r="P709" s="8">
        <f t="shared" si="20"/>
        <v>44348</v>
      </c>
    </row>
    <row r="710" spans="1:16" x14ac:dyDescent="0.25">
      <c r="A710" s="25"/>
      <c r="N710">
        <v>3</v>
      </c>
      <c r="O710" s="8">
        <v>44378</v>
      </c>
      <c r="P710" s="8">
        <f t="shared" si="20"/>
        <v>44378</v>
      </c>
    </row>
    <row r="711" spans="1:16" x14ac:dyDescent="0.25">
      <c r="A711" s="25"/>
      <c r="N711">
        <v>3</v>
      </c>
      <c r="O711" s="8">
        <v>44379</v>
      </c>
      <c r="P711" s="8">
        <f t="shared" si="20"/>
        <v>44378</v>
      </c>
    </row>
    <row r="712" spans="1:16" x14ac:dyDescent="0.25">
      <c r="A712" s="25"/>
      <c r="N712">
        <v>3</v>
      </c>
      <c r="O712" s="8">
        <v>44380</v>
      </c>
      <c r="P712" s="8">
        <f t="shared" si="20"/>
        <v>44378</v>
      </c>
    </row>
    <row r="713" spans="1:16" x14ac:dyDescent="0.25">
      <c r="A713" s="25"/>
      <c r="N713">
        <v>3</v>
      </c>
      <c r="O713" s="8">
        <v>44382</v>
      </c>
      <c r="P713" s="8">
        <f t="shared" si="20"/>
        <v>44378</v>
      </c>
    </row>
    <row r="714" spans="1:16" x14ac:dyDescent="0.25">
      <c r="A714" s="25"/>
      <c r="N714">
        <v>3</v>
      </c>
      <c r="O714" s="8">
        <v>44383</v>
      </c>
      <c r="P714" s="8">
        <f t="shared" si="20"/>
        <v>44378</v>
      </c>
    </row>
    <row r="715" spans="1:16" x14ac:dyDescent="0.25">
      <c r="A715" s="25"/>
      <c r="N715">
        <v>3</v>
      </c>
      <c r="O715" s="8">
        <v>44384</v>
      </c>
      <c r="P715" s="8">
        <f t="shared" si="20"/>
        <v>44378</v>
      </c>
    </row>
    <row r="716" spans="1:16" x14ac:dyDescent="0.25">
      <c r="A716" s="25"/>
      <c r="N716">
        <v>3</v>
      </c>
      <c r="O716" s="8">
        <v>44385</v>
      </c>
      <c r="P716" s="8">
        <f t="shared" si="20"/>
        <v>44378</v>
      </c>
    </row>
    <row r="717" spans="1:16" x14ac:dyDescent="0.25">
      <c r="A717" s="25"/>
      <c r="N717">
        <v>3</v>
      </c>
      <c r="O717" s="8">
        <v>44386</v>
      </c>
      <c r="P717" s="8">
        <f t="shared" si="20"/>
        <v>44378</v>
      </c>
    </row>
    <row r="718" spans="1:16" x14ac:dyDescent="0.25">
      <c r="A718" s="25"/>
      <c r="N718">
        <v>3</v>
      </c>
      <c r="O718" s="8">
        <v>44389</v>
      </c>
      <c r="P718" s="8">
        <f t="shared" si="20"/>
        <v>44378</v>
      </c>
    </row>
    <row r="719" spans="1:16" x14ac:dyDescent="0.25">
      <c r="A719" s="25"/>
      <c r="N719">
        <v>3</v>
      </c>
      <c r="O719" s="8">
        <v>44390</v>
      </c>
      <c r="P719" s="8">
        <f t="shared" si="20"/>
        <v>44378</v>
      </c>
    </row>
    <row r="720" spans="1:16" x14ac:dyDescent="0.25">
      <c r="A720" s="25"/>
      <c r="N720">
        <v>3</v>
      </c>
      <c r="O720" s="8">
        <v>44395</v>
      </c>
      <c r="P720" s="8">
        <f t="shared" si="20"/>
        <v>44378</v>
      </c>
    </row>
    <row r="721" spans="1:16" x14ac:dyDescent="0.25">
      <c r="A721" s="25"/>
      <c r="N721">
        <v>3</v>
      </c>
      <c r="O721" s="8">
        <v>44396</v>
      </c>
      <c r="P721" s="8">
        <f t="shared" si="20"/>
        <v>44378</v>
      </c>
    </row>
    <row r="722" spans="1:16" x14ac:dyDescent="0.25">
      <c r="A722" s="25"/>
      <c r="N722">
        <v>3</v>
      </c>
      <c r="O722" s="8">
        <v>44397</v>
      </c>
      <c r="P722" s="8">
        <f t="shared" si="20"/>
        <v>44378</v>
      </c>
    </row>
    <row r="723" spans="1:16" x14ac:dyDescent="0.25">
      <c r="A723" s="25"/>
      <c r="N723">
        <v>3</v>
      </c>
      <c r="O723" s="8">
        <v>44404</v>
      </c>
      <c r="P723" s="8">
        <f t="shared" si="20"/>
        <v>44378</v>
      </c>
    </row>
    <row r="724" spans="1:16" x14ac:dyDescent="0.25">
      <c r="A724" s="25"/>
      <c r="N724">
        <v>3</v>
      </c>
      <c r="O724" s="8">
        <v>44411</v>
      </c>
      <c r="P724" s="8">
        <f t="shared" si="20"/>
        <v>44409</v>
      </c>
    </row>
    <row r="725" spans="1:16" x14ac:dyDescent="0.25">
      <c r="A725" s="25"/>
      <c r="N725">
        <v>3</v>
      </c>
      <c r="O725" s="8">
        <v>44445</v>
      </c>
      <c r="P725" s="8">
        <f t="shared" si="20"/>
        <v>44440</v>
      </c>
    </row>
    <row r="726" spans="1:16" x14ac:dyDescent="0.25">
      <c r="A726" s="25"/>
      <c r="N726">
        <v>3</v>
      </c>
      <c r="O726" s="8">
        <v>44447</v>
      </c>
      <c r="P726" s="8">
        <f t="shared" si="20"/>
        <v>44440</v>
      </c>
    </row>
    <row r="727" spans="1:16" x14ac:dyDescent="0.25">
      <c r="A727" s="25"/>
      <c r="N727">
        <v>3</v>
      </c>
      <c r="O727" s="8">
        <v>44448</v>
      </c>
      <c r="P727" s="8">
        <f t="shared" si="20"/>
        <v>44440</v>
      </c>
    </row>
    <row r="728" spans="1:16" x14ac:dyDescent="0.25">
      <c r="A728" s="25"/>
      <c r="N728">
        <v>3</v>
      </c>
      <c r="O728" s="8">
        <v>44449</v>
      </c>
      <c r="P728" s="8">
        <f t="shared" si="20"/>
        <v>44440</v>
      </c>
    </row>
    <row r="729" spans="1:16" x14ac:dyDescent="0.25">
      <c r="A729" s="25"/>
      <c r="N729">
        <v>3</v>
      </c>
      <c r="O729" s="8">
        <v>44450</v>
      </c>
      <c r="P729" s="8">
        <f t="shared" si="20"/>
        <v>44440</v>
      </c>
    </row>
    <row r="730" spans="1:16" x14ac:dyDescent="0.25">
      <c r="A730" s="25"/>
      <c r="N730">
        <v>3</v>
      </c>
      <c r="O730" s="8">
        <v>44451</v>
      </c>
      <c r="P730" s="8">
        <f t="shared" si="20"/>
        <v>44440</v>
      </c>
    </row>
    <row r="731" spans="1:16" x14ac:dyDescent="0.25">
      <c r="A731" s="25"/>
      <c r="N731">
        <v>3</v>
      </c>
      <c r="O731" s="8">
        <v>44454</v>
      </c>
      <c r="P731" s="8">
        <f t="shared" si="20"/>
        <v>44440</v>
      </c>
    </row>
    <row r="732" spans="1:16" x14ac:dyDescent="0.25">
      <c r="A732" s="25"/>
      <c r="N732">
        <v>3</v>
      </c>
      <c r="O732" s="8">
        <v>44525</v>
      </c>
      <c r="P732" s="8">
        <f t="shared" si="20"/>
        <v>44501</v>
      </c>
    </row>
    <row r="733" spans="1:16" x14ac:dyDescent="0.25">
      <c r="A733" s="25"/>
      <c r="N733">
        <v>3</v>
      </c>
      <c r="O733" s="8">
        <v>44526</v>
      </c>
      <c r="P733" s="8">
        <f t="shared" si="20"/>
        <v>44501</v>
      </c>
    </row>
    <row r="734" spans="1:16" x14ac:dyDescent="0.25">
      <c r="A734" s="25"/>
      <c r="N734">
        <v>3</v>
      </c>
      <c r="O734" s="8">
        <v>44532</v>
      </c>
      <c r="P734" s="8">
        <f t="shared" si="20"/>
        <v>44531</v>
      </c>
    </row>
    <row r="735" spans="1:16" x14ac:dyDescent="0.25">
      <c r="A735" s="25"/>
      <c r="N735">
        <v>3</v>
      </c>
      <c r="O735" s="8">
        <v>44535</v>
      </c>
      <c r="P735" s="8">
        <f t="shared" si="20"/>
        <v>44531</v>
      </c>
    </row>
    <row r="736" spans="1:16" x14ac:dyDescent="0.25">
      <c r="A736" s="25"/>
      <c r="N736">
        <v>3</v>
      </c>
      <c r="O736" s="8">
        <v>44537</v>
      </c>
      <c r="P736" s="8">
        <f t="shared" si="20"/>
        <v>44531</v>
      </c>
    </row>
    <row r="737" spans="1:16" x14ac:dyDescent="0.25">
      <c r="A737" s="25"/>
      <c r="N737">
        <v>3</v>
      </c>
      <c r="O737" s="8">
        <v>44538</v>
      </c>
      <c r="P737" s="8">
        <f t="shared" si="20"/>
        <v>44531</v>
      </c>
    </row>
    <row r="738" spans="1:16" x14ac:dyDescent="0.25">
      <c r="A738" s="25"/>
      <c r="N738">
        <v>3</v>
      </c>
      <c r="O738" s="8">
        <v>44541</v>
      </c>
      <c r="P738" s="8">
        <f t="shared" si="20"/>
        <v>44531</v>
      </c>
    </row>
    <row r="739" spans="1:16" x14ac:dyDescent="0.25">
      <c r="A739" s="25"/>
      <c r="N739">
        <v>3</v>
      </c>
      <c r="O739" s="8">
        <v>44543</v>
      </c>
      <c r="P739" s="8">
        <f t="shared" si="20"/>
        <v>44531</v>
      </c>
    </row>
    <row r="740" spans="1:16" x14ac:dyDescent="0.25">
      <c r="A740" s="25"/>
      <c r="N740">
        <v>3</v>
      </c>
      <c r="O740" s="8">
        <v>44544</v>
      </c>
      <c r="P740" s="8">
        <f t="shared" si="20"/>
        <v>44531</v>
      </c>
    </row>
    <row r="741" spans="1:16" x14ac:dyDescent="0.25">
      <c r="A741" s="25"/>
      <c r="N741">
        <v>3</v>
      </c>
      <c r="O741" s="8">
        <v>44547</v>
      </c>
      <c r="P741" s="8">
        <f t="shared" si="20"/>
        <v>44531</v>
      </c>
    </row>
    <row r="742" spans="1:16" x14ac:dyDescent="0.25">
      <c r="A742" s="25"/>
      <c r="N742">
        <v>3</v>
      </c>
      <c r="O742" s="8">
        <v>44548</v>
      </c>
      <c r="P742" s="8">
        <f t="shared" si="20"/>
        <v>44531</v>
      </c>
    </row>
    <row r="743" spans="1:16" x14ac:dyDescent="0.25">
      <c r="A743" s="25"/>
      <c r="N743">
        <v>3</v>
      </c>
      <c r="O743" s="8">
        <v>44594</v>
      </c>
      <c r="P743" s="8">
        <f t="shared" si="20"/>
        <v>44593</v>
      </c>
    </row>
    <row r="744" spans="1:16" x14ac:dyDescent="0.25">
      <c r="A744" s="25"/>
      <c r="N744">
        <v>3</v>
      </c>
      <c r="O744" s="8">
        <v>44629</v>
      </c>
      <c r="P744" s="8">
        <f t="shared" si="20"/>
        <v>44621</v>
      </c>
    </row>
    <row r="745" spans="1:16" x14ac:dyDescent="0.25">
      <c r="A745" s="25"/>
      <c r="N745">
        <v>3</v>
      </c>
      <c r="O745" s="8">
        <v>44646</v>
      </c>
      <c r="P745" s="8">
        <f t="shared" si="20"/>
        <v>44621</v>
      </c>
    </row>
    <row r="746" spans="1:16" x14ac:dyDescent="0.25">
      <c r="A746" s="25"/>
      <c r="N746">
        <v>3</v>
      </c>
      <c r="O746" s="8">
        <v>44647</v>
      </c>
      <c r="P746" s="8">
        <f t="shared" si="20"/>
        <v>44621</v>
      </c>
    </row>
    <row r="747" spans="1:16" x14ac:dyDescent="0.25">
      <c r="A747" s="25"/>
      <c r="N747">
        <v>3</v>
      </c>
      <c r="O747" s="8">
        <v>44457</v>
      </c>
      <c r="P747" s="8">
        <f t="shared" si="20"/>
        <v>44440</v>
      </c>
    </row>
    <row r="748" spans="1:16" x14ac:dyDescent="0.25">
      <c r="A748" s="25"/>
      <c r="N748">
        <v>3</v>
      </c>
      <c r="O748" s="8">
        <v>44461</v>
      </c>
      <c r="P748" s="8">
        <f t="shared" si="20"/>
        <v>44440</v>
      </c>
    </row>
    <row r="749" spans="1:16" x14ac:dyDescent="0.25">
      <c r="A749" s="25"/>
      <c r="N749">
        <v>3</v>
      </c>
      <c r="O749" s="8">
        <v>44462</v>
      </c>
      <c r="P749" s="8">
        <f t="shared" si="20"/>
        <v>44440</v>
      </c>
    </row>
    <row r="750" spans="1:16" x14ac:dyDescent="0.25">
      <c r="A750" s="25"/>
      <c r="N750">
        <v>3</v>
      </c>
      <c r="O750" s="8">
        <v>44463</v>
      </c>
      <c r="P750" s="8">
        <f t="shared" si="20"/>
        <v>44440</v>
      </c>
    </row>
    <row r="751" spans="1:16" x14ac:dyDescent="0.25">
      <c r="A751" s="25"/>
      <c r="N751">
        <v>3</v>
      </c>
      <c r="O751" s="8">
        <v>44464</v>
      </c>
      <c r="P751" s="8">
        <f t="shared" si="20"/>
        <v>44440</v>
      </c>
    </row>
    <row r="752" spans="1:16" x14ac:dyDescent="0.25">
      <c r="A752" s="25"/>
      <c r="N752">
        <v>3</v>
      </c>
      <c r="O752" s="8">
        <v>44466</v>
      </c>
      <c r="P752" s="8">
        <f t="shared" si="20"/>
        <v>44440</v>
      </c>
    </row>
    <row r="753" spans="1:16" x14ac:dyDescent="0.25">
      <c r="A753" s="25"/>
      <c r="N753">
        <v>3</v>
      </c>
      <c r="O753" s="8">
        <v>44467</v>
      </c>
      <c r="P753" s="8">
        <f t="shared" si="20"/>
        <v>44440</v>
      </c>
    </row>
    <row r="754" spans="1:16" x14ac:dyDescent="0.25">
      <c r="A754" s="25"/>
      <c r="N754">
        <v>3</v>
      </c>
      <c r="O754" s="8">
        <v>44468</v>
      </c>
      <c r="P754" s="8">
        <f t="shared" si="20"/>
        <v>44440</v>
      </c>
    </row>
    <row r="755" spans="1:16" x14ac:dyDescent="0.25">
      <c r="A755" s="25"/>
      <c r="N755">
        <v>3</v>
      </c>
      <c r="O755" s="8">
        <v>44469</v>
      </c>
      <c r="P755" s="8">
        <f t="shared" si="20"/>
        <v>44440</v>
      </c>
    </row>
    <row r="756" spans="1:16" x14ac:dyDescent="0.25">
      <c r="A756" s="25"/>
      <c r="N756">
        <v>3</v>
      </c>
      <c r="O756" s="8">
        <v>44470</v>
      </c>
      <c r="P756" s="8">
        <f t="shared" si="20"/>
        <v>44470</v>
      </c>
    </row>
    <row r="757" spans="1:16" x14ac:dyDescent="0.25">
      <c r="A757" s="25"/>
      <c r="N757">
        <v>3</v>
      </c>
      <c r="O757" s="8">
        <v>44471</v>
      </c>
      <c r="P757" s="8">
        <f t="shared" si="20"/>
        <v>44470</v>
      </c>
    </row>
    <row r="758" spans="1:16" x14ac:dyDescent="0.25">
      <c r="A758" s="25"/>
      <c r="N758">
        <v>3</v>
      </c>
      <c r="O758" s="8">
        <v>44473</v>
      </c>
      <c r="P758" s="8">
        <f t="shared" si="20"/>
        <v>44470</v>
      </c>
    </row>
    <row r="759" spans="1:16" x14ac:dyDescent="0.25">
      <c r="A759" s="25"/>
      <c r="N759">
        <v>3</v>
      </c>
      <c r="O759" s="8">
        <v>44474</v>
      </c>
      <c r="P759" s="8">
        <f t="shared" si="20"/>
        <v>44470</v>
      </c>
    </row>
    <row r="760" spans="1:16" x14ac:dyDescent="0.25">
      <c r="A760" s="25"/>
      <c r="N760">
        <v>3</v>
      </c>
      <c r="O760" s="8">
        <v>44475</v>
      </c>
      <c r="P760" s="8">
        <f t="shared" si="20"/>
        <v>44470</v>
      </c>
    </row>
    <row r="761" spans="1:16" x14ac:dyDescent="0.25">
      <c r="A761" s="25"/>
      <c r="N761">
        <v>3</v>
      </c>
      <c r="O761" s="8">
        <v>44476</v>
      </c>
      <c r="P761" s="8">
        <f t="shared" si="20"/>
        <v>44470</v>
      </c>
    </row>
    <row r="762" spans="1:16" x14ac:dyDescent="0.25">
      <c r="A762" s="25"/>
      <c r="N762">
        <v>3</v>
      </c>
      <c r="O762" s="8">
        <v>44477</v>
      </c>
      <c r="P762" s="8">
        <f t="shared" si="20"/>
        <v>44470</v>
      </c>
    </row>
    <row r="763" spans="1:16" x14ac:dyDescent="0.25">
      <c r="A763" s="25"/>
      <c r="N763">
        <v>3</v>
      </c>
      <c r="O763" s="8">
        <v>44478</v>
      </c>
      <c r="P763" s="8">
        <f t="shared" si="20"/>
        <v>44470</v>
      </c>
    </row>
    <row r="764" spans="1:16" x14ac:dyDescent="0.25">
      <c r="A764" s="25"/>
      <c r="N764">
        <v>3</v>
      </c>
      <c r="O764" s="8">
        <v>44481</v>
      </c>
      <c r="P764" s="8">
        <f t="shared" si="20"/>
        <v>44470</v>
      </c>
    </row>
    <row r="765" spans="1:16" x14ac:dyDescent="0.25">
      <c r="A765" s="25"/>
      <c r="N765">
        <v>3</v>
      </c>
      <c r="O765" s="8">
        <v>44482</v>
      </c>
      <c r="P765" s="8">
        <f t="shared" si="20"/>
        <v>44470</v>
      </c>
    </row>
    <row r="766" spans="1:16" x14ac:dyDescent="0.25">
      <c r="A766" s="25"/>
      <c r="N766">
        <v>3</v>
      </c>
      <c r="O766" s="8">
        <v>44483</v>
      </c>
      <c r="P766" s="8">
        <f t="shared" si="20"/>
        <v>44470</v>
      </c>
    </row>
    <row r="767" spans="1:16" x14ac:dyDescent="0.25">
      <c r="A767" s="25"/>
      <c r="N767">
        <v>3</v>
      </c>
      <c r="O767" s="8">
        <v>44484</v>
      </c>
      <c r="P767" s="8">
        <f t="shared" si="20"/>
        <v>44470</v>
      </c>
    </row>
    <row r="768" spans="1:16" x14ac:dyDescent="0.25">
      <c r="A768" s="25"/>
      <c r="N768">
        <v>3</v>
      </c>
      <c r="O768" s="8">
        <v>44485</v>
      </c>
      <c r="P768" s="8">
        <f t="shared" si="20"/>
        <v>44470</v>
      </c>
    </row>
    <row r="769" spans="1:16" x14ac:dyDescent="0.25">
      <c r="A769" s="25"/>
      <c r="N769">
        <v>3</v>
      </c>
      <c r="O769" s="8">
        <v>44487</v>
      </c>
      <c r="P769" s="8">
        <f t="shared" si="20"/>
        <v>44470</v>
      </c>
    </row>
    <row r="770" spans="1:16" x14ac:dyDescent="0.25">
      <c r="A770" s="25"/>
      <c r="N770">
        <v>3</v>
      </c>
      <c r="O770" s="8">
        <v>44488</v>
      </c>
      <c r="P770" s="8">
        <f t="shared" si="20"/>
        <v>44470</v>
      </c>
    </row>
    <row r="771" spans="1:16" x14ac:dyDescent="0.25">
      <c r="A771" s="25"/>
      <c r="N771">
        <v>3</v>
      </c>
      <c r="O771" s="8">
        <v>44489</v>
      </c>
      <c r="P771" s="8">
        <f t="shared" ref="P771:P834" si="21">DATE(YEAR(O771),MONTH(O771),1)</f>
        <v>44470</v>
      </c>
    </row>
    <row r="772" spans="1:16" x14ac:dyDescent="0.25">
      <c r="A772" s="25"/>
      <c r="N772">
        <v>3</v>
      </c>
      <c r="O772" s="8">
        <v>44490</v>
      </c>
      <c r="P772" s="8">
        <f t="shared" si="21"/>
        <v>44470</v>
      </c>
    </row>
    <row r="773" spans="1:16" x14ac:dyDescent="0.25">
      <c r="A773" s="25"/>
      <c r="N773">
        <v>3</v>
      </c>
      <c r="O773" s="8">
        <v>44491</v>
      </c>
      <c r="P773" s="8">
        <f t="shared" si="21"/>
        <v>44470</v>
      </c>
    </row>
    <row r="774" spans="1:16" x14ac:dyDescent="0.25">
      <c r="A774" s="25"/>
      <c r="N774">
        <v>3</v>
      </c>
      <c r="O774" s="8">
        <v>44492</v>
      </c>
      <c r="P774" s="8">
        <f t="shared" si="21"/>
        <v>44470</v>
      </c>
    </row>
    <row r="775" spans="1:16" x14ac:dyDescent="0.25">
      <c r="A775" s="25"/>
      <c r="N775">
        <v>3</v>
      </c>
      <c r="O775" s="8">
        <v>44494</v>
      </c>
      <c r="P775" s="8">
        <f t="shared" si="21"/>
        <v>44470</v>
      </c>
    </row>
    <row r="776" spans="1:16" x14ac:dyDescent="0.25">
      <c r="A776" s="25"/>
      <c r="N776">
        <v>3</v>
      </c>
      <c r="O776" s="8">
        <v>44458</v>
      </c>
      <c r="P776" s="8">
        <f t="shared" si="21"/>
        <v>44440</v>
      </c>
    </row>
    <row r="777" spans="1:16" x14ac:dyDescent="0.25">
      <c r="A777" s="25"/>
      <c r="N777">
        <v>3</v>
      </c>
      <c r="O777" s="8">
        <v>44459</v>
      </c>
      <c r="P777" s="8">
        <f t="shared" si="21"/>
        <v>44440</v>
      </c>
    </row>
    <row r="778" spans="1:16" x14ac:dyDescent="0.25">
      <c r="A778" s="25"/>
      <c r="N778">
        <v>3</v>
      </c>
      <c r="O778" s="8">
        <v>44460</v>
      </c>
      <c r="P778" s="8">
        <f t="shared" si="21"/>
        <v>44440</v>
      </c>
    </row>
    <row r="779" spans="1:16" x14ac:dyDescent="0.25">
      <c r="A779" s="25"/>
      <c r="N779">
        <v>3</v>
      </c>
      <c r="O779" s="8">
        <v>44501</v>
      </c>
      <c r="P779" s="8">
        <f t="shared" si="21"/>
        <v>44501</v>
      </c>
    </row>
    <row r="780" spans="1:16" x14ac:dyDescent="0.25">
      <c r="A780" s="25"/>
      <c r="N780">
        <v>3</v>
      </c>
      <c r="O780" s="8">
        <v>44502</v>
      </c>
      <c r="P780" s="8">
        <f t="shared" si="21"/>
        <v>44501</v>
      </c>
    </row>
    <row r="781" spans="1:16" x14ac:dyDescent="0.25">
      <c r="A781" s="25"/>
      <c r="N781">
        <v>3</v>
      </c>
      <c r="O781" s="8">
        <v>44503</v>
      </c>
      <c r="P781" s="8">
        <f t="shared" si="21"/>
        <v>44501</v>
      </c>
    </row>
    <row r="782" spans="1:16" x14ac:dyDescent="0.25">
      <c r="A782" s="25"/>
      <c r="N782">
        <v>3</v>
      </c>
      <c r="O782" s="8">
        <v>44504</v>
      </c>
      <c r="P782" s="8">
        <f t="shared" si="21"/>
        <v>44501</v>
      </c>
    </row>
    <row r="783" spans="1:16" x14ac:dyDescent="0.25">
      <c r="A783" s="25"/>
      <c r="N783">
        <v>3</v>
      </c>
      <c r="O783" s="8">
        <v>44505</v>
      </c>
      <c r="P783" s="8">
        <f t="shared" si="21"/>
        <v>44501</v>
      </c>
    </row>
    <row r="784" spans="1:16" x14ac:dyDescent="0.25">
      <c r="A784" s="25"/>
      <c r="N784">
        <v>3</v>
      </c>
      <c r="O784" s="8">
        <v>44509</v>
      </c>
      <c r="P784" s="8">
        <f t="shared" si="21"/>
        <v>44501</v>
      </c>
    </row>
    <row r="785" spans="1:16" x14ac:dyDescent="0.25">
      <c r="A785" s="25"/>
      <c r="N785">
        <v>3</v>
      </c>
      <c r="O785" s="8">
        <v>44510</v>
      </c>
      <c r="P785" s="8">
        <f t="shared" si="21"/>
        <v>44501</v>
      </c>
    </row>
    <row r="786" spans="1:16" x14ac:dyDescent="0.25">
      <c r="A786" s="25"/>
      <c r="N786">
        <v>3</v>
      </c>
      <c r="O786" s="8">
        <v>44511</v>
      </c>
      <c r="P786" s="8">
        <f t="shared" si="21"/>
        <v>44501</v>
      </c>
    </row>
    <row r="787" spans="1:16" x14ac:dyDescent="0.25">
      <c r="A787" s="25"/>
      <c r="N787">
        <v>3</v>
      </c>
      <c r="O787" s="8">
        <v>44518</v>
      </c>
      <c r="P787" s="8">
        <f t="shared" si="21"/>
        <v>44501</v>
      </c>
    </row>
    <row r="788" spans="1:16" x14ac:dyDescent="0.25">
      <c r="A788" s="25"/>
      <c r="N788">
        <v>3</v>
      </c>
      <c r="O788" s="8">
        <v>44519</v>
      </c>
      <c r="P788" s="8">
        <f t="shared" si="21"/>
        <v>44501</v>
      </c>
    </row>
    <row r="789" spans="1:16" x14ac:dyDescent="0.25">
      <c r="A789" s="25"/>
      <c r="N789">
        <v>3</v>
      </c>
      <c r="O789" s="8">
        <v>44520</v>
      </c>
      <c r="P789" s="8">
        <f t="shared" si="21"/>
        <v>44501</v>
      </c>
    </row>
    <row r="790" spans="1:16" x14ac:dyDescent="0.25">
      <c r="A790" s="25"/>
      <c r="N790">
        <v>3</v>
      </c>
      <c r="O790" s="8">
        <v>44521</v>
      </c>
      <c r="P790" s="8">
        <f t="shared" si="21"/>
        <v>44501</v>
      </c>
    </row>
    <row r="791" spans="1:16" x14ac:dyDescent="0.25">
      <c r="A791" s="25"/>
      <c r="N791">
        <v>3</v>
      </c>
      <c r="O791" s="8">
        <v>44643</v>
      </c>
      <c r="P791" s="8">
        <f t="shared" si="21"/>
        <v>44621</v>
      </c>
    </row>
    <row r="792" spans="1:16" x14ac:dyDescent="0.25">
      <c r="A792" s="25"/>
      <c r="N792">
        <v>3</v>
      </c>
      <c r="O792" s="8">
        <v>44640</v>
      </c>
      <c r="P792" s="8">
        <f t="shared" si="21"/>
        <v>44621</v>
      </c>
    </row>
    <row r="793" spans="1:16" x14ac:dyDescent="0.25">
      <c r="A793" s="25"/>
      <c r="N793">
        <v>1</v>
      </c>
      <c r="O793" s="8">
        <v>44794</v>
      </c>
      <c r="P793" s="8">
        <f t="shared" si="21"/>
        <v>44774</v>
      </c>
    </row>
    <row r="794" spans="1:16" x14ac:dyDescent="0.25">
      <c r="A794" s="25"/>
      <c r="N794">
        <v>1</v>
      </c>
      <c r="O794" s="8">
        <v>44795</v>
      </c>
      <c r="P794" s="8">
        <f t="shared" si="21"/>
        <v>44774</v>
      </c>
    </row>
    <row r="795" spans="1:16" x14ac:dyDescent="0.25">
      <c r="A795" s="25"/>
      <c r="N795">
        <v>1</v>
      </c>
      <c r="O795" s="8">
        <v>44796</v>
      </c>
      <c r="P795" s="8">
        <f t="shared" si="21"/>
        <v>44774</v>
      </c>
    </row>
    <row r="796" spans="1:16" x14ac:dyDescent="0.25">
      <c r="A796" s="25"/>
      <c r="N796">
        <v>1</v>
      </c>
      <c r="O796" s="8">
        <v>44797</v>
      </c>
      <c r="P796" s="8">
        <f t="shared" si="21"/>
        <v>44774</v>
      </c>
    </row>
    <row r="797" spans="1:16" x14ac:dyDescent="0.25">
      <c r="A797" s="25"/>
      <c r="N797">
        <v>1</v>
      </c>
      <c r="O797" s="8">
        <v>44798</v>
      </c>
      <c r="P797" s="8">
        <f t="shared" si="21"/>
        <v>44774</v>
      </c>
    </row>
    <row r="798" spans="1:16" x14ac:dyDescent="0.25">
      <c r="A798" s="25"/>
      <c r="N798">
        <v>1</v>
      </c>
      <c r="O798" s="8">
        <v>44799</v>
      </c>
      <c r="P798" s="8">
        <f t="shared" si="21"/>
        <v>44774</v>
      </c>
    </row>
    <row r="799" spans="1:16" x14ac:dyDescent="0.25">
      <c r="A799" s="25"/>
      <c r="N799">
        <v>1</v>
      </c>
      <c r="O799" s="8">
        <v>44800</v>
      </c>
      <c r="P799" s="8">
        <f t="shared" si="21"/>
        <v>44774</v>
      </c>
    </row>
    <row r="800" spans="1:16" x14ac:dyDescent="0.25">
      <c r="A800" s="25"/>
      <c r="N800">
        <v>1</v>
      </c>
      <c r="O800" s="8">
        <v>44801</v>
      </c>
      <c r="P800" s="8">
        <f t="shared" si="21"/>
        <v>44774</v>
      </c>
    </row>
    <row r="801" spans="1:16" x14ac:dyDescent="0.25">
      <c r="A801" s="25"/>
      <c r="N801">
        <v>1</v>
      </c>
      <c r="O801" s="8">
        <v>44770</v>
      </c>
      <c r="P801" s="8">
        <f t="shared" si="21"/>
        <v>44743</v>
      </c>
    </row>
    <row r="802" spans="1:16" x14ac:dyDescent="0.25">
      <c r="A802" s="25"/>
      <c r="N802">
        <v>1</v>
      </c>
      <c r="O802" s="8">
        <v>44777</v>
      </c>
      <c r="P802" s="8">
        <f t="shared" si="21"/>
        <v>44774</v>
      </c>
    </row>
    <row r="803" spans="1:16" x14ac:dyDescent="0.25">
      <c r="A803" s="25"/>
      <c r="N803">
        <v>1</v>
      </c>
      <c r="O803" s="8">
        <v>44778</v>
      </c>
      <c r="P803" s="8">
        <f t="shared" si="21"/>
        <v>44774</v>
      </c>
    </row>
    <row r="804" spans="1:16" x14ac:dyDescent="0.25">
      <c r="A804" s="25"/>
      <c r="N804">
        <v>1</v>
      </c>
      <c r="O804" s="8">
        <v>44786</v>
      </c>
      <c r="P804" s="8">
        <f t="shared" si="21"/>
        <v>44774</v>
      </c>
    </row>
    <row r="805" spans="1:16" x14ac:dyDescent="0.25">
      <c r="A805" s="25"/>
      <c r="N805">
        <v>1</v>
      </c>
      <c r="O805" s="8">
        <v>44787</v>
      </c>
      <c r="P805" s="8">
        <f t="shared" si="21"/>
        <v>44774</v>
      </c>
    </row>
    <row r="806" spans="1:16" x14ac:dyDescent="0.25">
      <c r="A806" s="25"/>
      <c r="N806">
        <v>1</v>
      </c>
      <c r="O806" s="8">
        <v>44789</v>
      </c>
      <c r="P806" s="8">
        <f t="shared" si="21"/>
        <v>44774</v>
      </c>
    </row>
    <row r="807" spans="1:16" x14ac:dyDescent="0.25">
      <c r="A807" s="25"/>
      <c r="N807">
        <v>1</v>
      </c>
      <c r="O807" s="8">
        <v>44790</v>
      </c>
      <c r="P807" s="8">
        <f t="shared" si="21"/>
        <v>44774</v>
      </c>
    </row>
    <row r="808" spans="1:16" x14ac:dyDescent="0.25">
      <c r="A808" s="25"/>
      <c r="N808">
        <v>1</v>
      </c>
      <c r="O808" s="8">
        <v>44791</v>
      </c>
      <c r="P808" s="8">
        <f t="shared" si="21"/>
        <v>44774</v>
      </c>
    </row>
    <row r="809" spans="1:16" x14ac:dyDescent="0.25">
      <c r="A809" s="25"/>
      <c r="N809">
        <v>1</v>
      </c>
      <c r="O809" s="8">
        <v>44745</v>
      </c>
      <c r="P809" s="8">
        <f t="shared" si="21"/>
        <v>44743</v>
      </c>
    </row>
    <row r="810" spans="1:16" x14ac:dyDescent="0.25">
      <c r="A810" s="25"/>
      <c r="N810">
        <v>1</v>
      </c>
      <c r="O810" s="8">
        <v>44746</v>
      </c>
      <c r="P810" s="8">
        <f t="shared" si="21"/>
        <v>44743</v>
      </c>
    </row>
    <row r="811" spans="1:16" x14ac:dyDescent="0.25">
      <c r="A811" s="25"/>
      <c r="N811">
        <v>1</v>
      </c>
      <c r="O811" s="8">
        <v>44747</v>
      </c>
      <c r="P811" s="8">
        <f t="shared" si="21"/>
        <v>44743</v>
      </c>
    </row>
    <row r="812" spans="1:16" x14ac:dyDescent="0.25">
      <c r="A812" s="25"/>
      <c r="N812">
        <v>1</v>
      </c>
      <c r="O812" s="8">
        <v>44723</v>
      </c>
      <c r="P812" s="8">
        <f t="shared" si="21"/>
        <v>44713</v>
      </c>
    </row>
    <row r="813" spans="1:16" x14ac:dyDescent="0.25">
      <c r="A813" s="25"/>
      <c r="N813">
        <v>1</v>
      </c>
      <c r="O813" s="8">
        <v>44721</v>
      </c>
      <c r="P813" s="8">
        <f t="shared" si="21"/>
        <v>44713</v>
      </c>
    </row>
    <row r="814" spans="1:16" x14ac:dyDescent="0.25">
      <c r="A814" s="25"/>
      <c r="N814">
        <v>1</v>
      </c>
      <c r="O814" s="8">
        <v>44722</v>
      </c>
      <c r="P814" s="8">
        <f t="shared" si="21"/>
        <v>44713</v>
      </c>
    </row>
    <row r="815" spans="1:16" x14ac:dyDescent="0.25">
      <c r="A815" s="25"/>
      <c r="N815">
        <v>1</v>
      </c>
      <c r="O815" s="8">
        <v>44727</v>
      </c>
      <c r="P815" s="8">
        <f t="shared" si="21"/>
        <v>44713</v>
      </c>
    </row>
    <row r="816" spans="1:16" x14ac:dyDescent="0.25">
      <c r="A816" s="25"/>
      <c r="N816">
        <v>1</v>
      </c>
      <c r="O816" s="8">
        <v>44728</v>
      </c>
      <c r="P816" s="8">
        <f t="shared" si="21"/>
        <v>44713</v>
      </c>
    </row>
    <row r="817" spans="1:16" x14ac:dyDescent="0.25">
      <c r="A817" s="25"/>
      <c r="N817">
        <v>1</v>
      </c>
      <c r="O817" s="8">
        <v>44724</v>
      </c>
      <c r="P817" s="8">
        <f t="shared" si="21"/>
        <v>44713</v>
      </c>
    </row>
    <row r="818" spans="1:16" x14ac:dyDescent="0.25">
      <c r="A818" s="25"/>
      <c r="N818">
        <v>1</v>
      </c>
      <c r="O818" s="8">
        <v>44725</v>
      </c>
      <c r="P818" s="8">
        <f t="shared" si="21"/>
        <v>44713</v>
      </c>
    </row>
    <row r="819" spans="1:16" x14ac:dyDescent="0.25">
      <c r="A819" s="25"/>
      <c r="N819">
        <v>1</v>
      </c>
      <c r="O819" s="8">
        <v>44726</v>
      </c>
      <c r="P819" s="8">
        <f t="shared" si="21"/>
        <v>44713</v>
      </c>
    </row>
    <row r="820" spans="1:16" x14ac:dyDescent="0.25">
      <c r="A820" s="25"/>
      <c r="N820">
        <v>1</v>
      </c>
      <c r="O820" s="8">
        <v>44729</v>
      </c>
      <c r="P820" s="8">
        <f t="shared" si="21"/>
        <v>44713</v>
      </c>
    </row>
    <row r="821" spans="1:16" x14ac:dyDescent="0.25">
      <c r="A821" s="25"/>
      <c r="N821">
        <v>1</v>
      </c>
      <c r="O821" s="8">
        <v>44730</v>
      </c>
      <c r="P821" s="8">
        <f t="shared" si="21"/>
        <v>44713</v>
      </c>
    </row>
    <row r="822" spans="1:16" x14ac:dyDescent="0.25">
      <c r="A822" s="25"/>
      <c r="N822">
        <v>1</v>
      </c>
      <c r="O822" s="8">
        <v>44731</v>
      </c>
      <c r="P822" s="8">
        <f t="shared" si="21"/>
        <v>44713</v>
      </c>
    </row>
    <row r="823" spans="1:16" x14ac:dyDescent="0.25">
      <c r="A823" s="25"/>
      <c r="N823">
        <v>1</v>
      </c>
      <c r="O823" s="8">
        <v>44732</v>
      </c>
      <c r="P823" s="8">
        <f t="shared" si="21"/>
        <v>44713</v>
      </c>
    </row>
    <row r="824" spans="1:16" x14ac:dyDescent="0.25">
      <c r="A824" s="25"/>
      <c r="N824">
        <v>1</v>
      </c>
      <c r="O824" s="8">
        <v>44741</v>
      </c>
      <c r="P824" s="8">
        <f t="shared" si="21"/>
        <v>44713</v>
      </c>
    </row>
    <row r="825" spans="1:16" x14ac:dyDescent="0.25">
      <c r="A825" s="25"/>
      <c r="N825">
        <v>1</v>
      </c>
      <c r="O825" s="8">
        <v>44744</v>
      </c>
      <c r="P825" s="8">
        <f t="shared" si="21"/>
        <v>44743</v>
      </c>
    </row>
    <row r="826" spans="1:16" x14ac:dyDescent="0.25">
      <c r="A826" s="25"/>
      <c r="N826">
        <v>1</v>
      </c>
      <c r="O826" s="8">
        <v>44748</v>
      </c>
      <c r="P826" s="8">
        <f t="shared" si="21"/>
        <v>44743</v>
      </c>
    </row>
    <row r="827" spans="1:16" x14ac:dyDescent="0.25">
      <c r="A827" s="25"/>
      <c r="N827">
        <v>1</v>
      </c>
      <c r="O827" s="8">
        <v>44749</v>
      </c>
      <c r="P827" s="8">
        <f t="shared" si="21"/>
        <v>44743</v>
      </c>
    </row>
    <row r="828" spans="1:16" x14ac:dyDescent="0.25">
      <c r="A828" s="25"/>
      <c r="N828">
        <v>1</v>
      </c>
      <c r="O828" s="8">
        <v>44750</v>
      </c>
      <c r="P828" s="8">
        <f t="shared" si="21"/>
        <v>44743</v>
      </c>
    </row>
    <row r="829" spans="1:16" x14ac:dyDescent="0.25">
      <c r="A829" s="25"/>
      <c r="N829">
        <v>1</v>
      </c>
      <c r="O829" s="8">
        <v>44771</v>
      </c>
      <c r="P829" s="8">
        <f t="shared" si="21"/>
        <v>44743</v>
      </c>
    </row>
    <row r="830" spans="1:16" x14ac:dyDescent="0.25">
      <c r="A830" s="25"/>
      <c r="N830">
        <v>1</v>
      </c>
      <c r="O830" s="8">
        <v>44772</v>
      </c>
      <c r="P830" s="8">
        <f t="shared" si="21"/>
        <v>44743</v>
      </c>
    </row>
    <row r="831" spans="1:16" x14ac:dyDescent="0.25">
      <c r="A831" s="25"/>
      <c r="N831">
        <v>1</v>
      </c>
      <c r="O831" s="8">
        <v>44792</v>
      </c>
      <c r="P831" s="8">
        <f t="shared" si="21"/>
        <v>44774</v>
      </c>
    </row>
    <row r="832" spans="1:16" x14ac:dyDescent="0.25">
      <c r="A832" s="25"/>
      <c r="N832">
        <v>1</v>
      </c>
      <c r="O832" s="8">
        <v>44793</v>
      </c>
      <c r="P832" s="8">
        <f t="shared" si="21"/>
        <v>44774</v>
      </c>
    </row>
    <row r="833" spans="1:16" x14ac:dyDescent="0.25">
      <c r="A833" s="25"/>
      <c r="N833">
        <v>1</v>
      </c>
      <c r="O833" s="8">
        <v>44742</v>
      </c>
      <c r="P833" s="8">
        <f t="shared" si="21"/>
        <v>44713</v>
      </c>
    </row>
    <row r="834" spans="1:16" x14ac:dyDescent="0.25">
      <c r="A834" s="25"/>
      <c r="N834">
        <v>1</v>
      </c>
      <c r="O834" s="8">
        <v>44743</v>
      </c>
      <c r="P834" s="8">
        <f t="shared" si="21"/>
        <v>44743</v>
      </c>
    </row>
    <row r="835" spans="1:16" x14ac:dyDescent="0.25">
      <c r="A835" s="25"/>
      <c r="N835">
        <v>1</v>
      </c>
      <c r="O835" s="8">
        <v>44751</v>
      </c>
      <c r="P835" s="8">
        <f t="shared" ref="P835:P898" si="22">DATE(YEAR(O835),MONTH(O835),1)</f>
        <v>44743</v>
      </c>
    </row>
    <row r="836" spans="1:16" x14ac:dyDescent="0.25">
      <c r="A836" s="25"/>
      <c r="N836">
        <v>1</v>
      </c>
      <c r="O836" s="8">
        <v>44752</v>
      </c>
      <c r="P836" s="8">
        <f t="shared" si="22"/>
        <v>44743</v>
      </c>
    </row>
    <row r="837" spans="1:16" x14ac:dyDescent="0.25">
      <c r="A837" s="25"/>
      <c r="N837">
        <v>1</v>
      </c>
      <c r="O837" s="8">
        <v>44753</v>
      </c>
      <c r="P837" s="8">
        <f t="shared" si="22"/>
        <v>44743</v>
      </c>
    </row>
    <row r="838" spans="1:16" x14ac:dyDescent="0.25">
      <c r="A838" s="25"/>
      <c r="N838">
        <v>1</v>
      </c>
      <c r="O838" s="8">
        <v>44754</v>
      </c>
      <c r="P838" s="8">
        <f t="shared" si="22"/>
        <v>44743</v>
      </c>
    </row>
    <row r="839" spans="1:16" x14ac:dyDescent="0.25">
      <c r="A839" s="25"/>
      <c r="N839">
        <v>1</v>
      </c>
      <c r="O839" s="8">
        <v>44755</v>
      </c>
      <c r="P839" s="8">
        <f t="shared" si="22"/>
        <v>44743</v>
      </c>
    </row>
    <row r="840" spans="1:16" x14ac:dyDescent="0.25">
      <c r="A840" s="25"/>
      <c r="N840">
        <v>1</v>
      </c>
      <c r="O840" s="8">
        <v>44756</v>
      </c>
      <c r="P840" s="8">
        <f t="shared" si="22"/>
        <v>44743</v>
      </c>
    </row>
    <row r="841" spans="1:16" x14ac:dyDescent="0.25">
      <c r="A841" s="25"/>
      <c r="N841">
        <v>1</v>
      </c>
      <c r="O841" s="8">
        <v>44757</v>
      </c>
      <c r="P841" s="8">
        <f t="shared" si="22"/>
        <v>44743</v>
      </c>
    </row>
    <row r="842" spans="1:16" x14ac:dyDescent="0.25">
      <c r="A842" s="25"/>
      <c r="N842">
        <v>1</v>
      </c>
      <c r="O842" s="8">
        <v>44758</v>
      </c>
      <c r="P842" s="8">
        <f t="shared" si="22"/>
        <v>44743</v>
      </c>
    </row>
    <row r="843" spans="1:16" x14ac:dyDescent="0.25">
      <c r="A843" s="25"/>
      <c r="N843">
        <v>1</v>
      </c>
      <c r="O843" s="8">
        <v>44759</v>
      </c>
      <c r="P843" s="8">
        <f t="shared" si="22"/>
        <v>44743</v>
      </c>
    </row>
    <row r="844" spans="1:16" x14ac:dyDescent="0.25">
      <c r="A844" s="25"/>
      <c r="N844">
        <v>1</v>
      </c>
      <c r="O844" s="8">
        <v>44760</v>
      </c>
      <c r="P844" s="8">
        <f t="shared" si="22"/>
        <v>44743</v>
      </c>
    </row>
    <row r="845" spans="1:16" x14ac:dyDescent="0.25">
      <c r="A845" s="25"/>
      <c r="N845">
        <v>1</v>
      </c>
      <c r="O845" s="8">
        <v>44761</v>
      </c>
      <c r="P845" s="8">
        <f t="shared" si="22"/>
        <v>44743</v>
      </c>
    </row>
    <row r="846" spans="1:16" x14ac:dyDescent="0.25">
      <c r="A846" s="25"/>
      <c r="N846">
        <v>1</v>
      </c>
      <c r="O846" s="8">
        <v>44762</v>
      </c>
      <c r="P846" s="8">
        <f t="shared" si="22"/>
        <v>44743</v>
      </c>
    </row>
    <row r="847" spans="1:16" x14ac:dyDescent="0.25">
      <c r="A847" s="25"/>
      <c r="N847">
        <v>1</v>
      </c>
      <c r="O847" s="8">
        <v>44763</v>
      </c>
      <c r="P847" s="8">
        <f t="shared" si="22"/>
        <v>44743</v>
      </c>
    </row>
    <row r="848" spans="1:16" x14ac:dyDescent="0.25">
      <c r="A848" s="25"/>
      <c r="N848">
        <v>1</v>
      </c>
      <c r="O848" s="8">
        <v>44764</v>
      </c>
      <c r="P848" s="8">
        <f t="shared" si="22"/>
        <v>44743</v>
      </c>
    </row>
    <row r="849" spans="1:16" x14ac:dyDescent="0.25">
      <c r="A849" s="25"/>
      <c r="N849">
        <v>1</v>
      </c>
      <c r="O849" s="8">
        <v>44765</v>
      </c>
      <c r="P849" s="8">
        <f t="shared" si="22"/>
        <v>44743</v>
      </c>
    </row>
    <row r="850" spans="1:16" x14ac:dyDescent="0.25">
      <c r="A850" s="25"/>
      <c r="N850">
        <v>1</v>
      </c>
      <c r="O850" s="8">
        <v>44766</v>
      </c>
      <c r="P850" s="8">
        <f t="shared" si="22"/>
        <v>44743</v>
      </c>
    </row>
    <row r="851" spans="1:16" x14ac:dyDescent="0.25">
      <c r="A851" s="25"/>
      <c r="N851">
        <v>1</v>
      </c>
      <c r="O851" s="8">
        <v>44767</v>
      </c>
      <c r="P851" s="8">
        <f t="shared" si="22"/>
        <v>44743</v>
      </c>
    </row>
    <row r="852" spans="1:16" x14ac:dyDescent="0.25">
      <c r="A852" s="25"/>
      <c r="N852">
        <v>1</v>
      </c>
      <c r="O852" s="8">
        <v>44768</v>
      </c>
      <c r="P852" s="8">
        <f t="shared" si="22"/>
        <v>44743</v>
      </c>
    </row>
    <row r="853" spans="1:16" x14ac:dyDescent="0.25">
      <c r="A853" s="25"/>
      <c r="N853">
        <v>1</v>
      </c>
      <c r="O853" s="8">
        <v>44769</v>
      </c>
      <c r="P853" s="8">
        <f t="shared" si="22"/>
        <v>44743</v>
      </c>
    </row>
    <row r="854" spans="1:16" x14ac:dyDescent="0.25">
      <c r="A854" s="25"/>
      <c r="N854">
        <v>1</v>
      </c>
      <c r="O854" s="8">
        <v>44733</v>
      </c>
      <c r="P854" s="8">
        <f t="shared" si="22"/>
        <v>44713</v>
      </c>
    </row>
    <row r="855" spans="1:16" x14ac:dyDescent="0.25">
      <c r="A855" s="25"/>
      <c r="N855">
        <v>1</v>
      </c>
      <c r="O855" s="8">
        <v>44734</v>
      </c>
      <c r="P855" s="8">
        <f t="shared" si="22"/>
        <v>44713</v>
      </c>
    </row>
    <row r="856" spans="1:16" x14ac:dyDescent="0.25">
      <c r="A856" s="25"/>
      <c r="N856">
        <v>1</v>
      </c>
      <c r="O856" s="8">
        <v>44735</v>
      </c>
      <c r="P856" s="8">
        <f t="shared" si="22"/>
        <v>44713</v>
      </c>
    </row>
    <row r="857" spans="1:16" x14ac:dyDescent="0.25">
      <c r="A857" s="25"/>
      <c r="N857">
        <v>1</v>
      </c>
      <c r="O857" s="8">
        <v>44736</v>
      </c>
      <c r="P857" s="8">
        <f t="shared" si="22"/>
        <v>44713</v>
      </c>
    </row>
    <row r="858" spans="1:16" x14ac:dyDescent="0.25">
      <c r="A858" s="25"/>
      <c r="N858">
        <v>1</v>
      </c>
      <c r="O858" s="8">
        <v>44737</v>
      </c>
      <c r="P858" s="8">
        <f t="shared" si="22"/>
        <v>44713</v>
      </c>
    </row>
    <row r="859" spans="1:16" x14ac:dyDescent="0.25">
      <c r="A859" s="25"/>
      <c r="N859">
        <v>1</v>
      </c>
      <c r="O859" s="8">
        <v>44738</v>
      </c>
      <c r="P859" s="8">
        <f t="shared" si="22"/>
        <v>44713</v>
      </c>
    </row>
    <row r="860" spans="1:16" x14ac:dyDescent="0.25">
      <c r="A860" s="25"/>
      <c r="N860">
        <v>1</v>
      </c>
      <c r="O860" s="8">
        <v>44739</v>
      </c>
      <c r="P860" s="8">
        <f t="shared" si="22"/>
        <v>44713</v>
      </c>
    </row>
    <row r="861" spans="1:16" x14ac:dyDescent="0.25">
      <c r="A861" s="25"/>
      <c r="N861">
        <v>1</v>
      </c>
      <c r="O861" s="8">
        <v>44740</v>
      </c>
      <c r="P861" s="8">
        <f t="shared" si="22"/>
        <v>44713</v>
      </c>
    </row>
    <row r="862" spans="1:16" x14ac:dyDescent="0.25">
      <c r="A862" s="25"/>
      <c r="N862">
        <v>1</v>
      </c>
      <c r="O862" s="8">
        <v>44810</v>
      </c>
      <c r="P862" s="8">
        <f t="shared" si="22"/>
        <v>44805</v>
      </c>
    </row>
    <row r="863" spans="1:16" x14ac:dyDescent="0.25">
      <c r="A863" s="25"/>
      <c r="N863">
        <v>1</v>
      </c>
      <c r="O863" s="8">
        <v>44811</v>
      </c>
      <c r="P863" s="8">
        <f t="shared" si="22"/>
        <v>44805</v>
      </c>
    </row>
    <row r="864" spans="1:16" x14ac:dyDescent="0.25">
      <c r="A864" s="25"/>
      <c r="N864">
        <v>1</v>
      </c>
      <c r="O864" s="8">
        <v>44812</v>
      </c>
      <c r="P864" s="8">
        <f t="shared" si="22"/>
        <v>44805</v>
      </c>
    </row>
    <row r="865" spans="1:16" x14ac:dyDescent="0.25">
      <c r="A865" s="25"/>
      <c r="N865">
        <v>1</v>
      </c>
      <c r="O865" s="8">
        <v>44813</v>
      </c>
      <c r="P865" s="8">
        <f t="shared" si="22"/>
        <v>44805</v>
      </c>
    </row>
    <row r="866" spans="1:16" x14ac:dyDescent="0.25">
      <c r="A866" s="25"/>
      <c r="N866">
        <v>1</v>
      </c>
      <c r="O866" s="8">
        <v>44814</v>
      </c>
      <c r="P866" s="8">
        <f t="shared" si="22"/>
        <v>44805</v>
      </c>
    </row>
    <row r="867" spans="1:16" x14ac:dyDescent="0.25">
      <c r="A867" s="25"/>
      <c r="N867">
        <v>1</v>
      </c>
      <c r="O867" s="8">
        <v>44815</v>
      </c>
      <c r="P867" s="8">
        <f t="shared" si="22"/>
        <v>44805</v>
      </c>
    </row>
    <row r="868" spans="1:16" x14ac:dyDescent="0.25">
      <c r="A868" s="25"/>
      <c r="N868">
        <v>1</v>
      </c>
      <c r="O868" s="8">
        <v>44816</v>
      </c>
      <c r="P868" s="8">
        <f t="shared" si="22"/>
        <v>44805</v>
      </c>
    </row>
    <row r="869" spans="1:16" x14ac:dyDescent="0.25">
      <c r="A869" s="25"/>
      <c r="N869">
        <v>1</v>
      </c>
      <c r="O869" s="8">
        <v>44817</v>
      </c>
      <c r="P869" s="8">
        <f t="shared" si="22"/>
        <v>44805</v>
      </c>
    </row>
    <row r="870" spans="1:16" x14ac:dyDescent="0.25">
      <c r="A870" s="25"/>
      <c r="N870">
        <v>1</v>
      </c>
      <c r="O870" s="8">
        <v>44818</v>
      </c>
      <c r="P870" s="8">
        <f t="shared" si="22"/>
        <v>44805</v>
      </c>
    </row>
    <row r="871" spans="1:16" x14ac:dyDescent="0.25">
      <c r="A871" s="25"/>
      <c r="N871">
        <v>1</v>
      </c>
      <c r="O871" s="8">
        <v>44819</v>
      </c>
      <c r="P871" s="8">
        <f t="shared" si="22"/>
        <v>44805</v>
      </c>
    </row>
    <row r="872" spans="1:16" x14ac:dyDescent="0.25">
      <c r="A872" s="25"/>
      <c r="N872">
        <v>1</v>
      </c>
      <c r="O872" s="8">
        <v>44820</v>
      </c>
      <c r="P872" s="8">
        <f t="shared" si="22"/>
        <v>44805</v>
      </c>
    </row>
    <row r="873" spans="1:16" x14ac:dyDescent="0.25">
      <c r="A873" s="25"/>
      <c r="N873">
        <v>1</v>
      </c>
      <c r="O873" s="8">
        <v>44821</v>
      </c>
      <c r="P873" s="8">
        <f t="shared" si="22"/>
        <v>44805</v>
      </c>
    </row>
    <row r="874" spans="1:16" x14ac:dyDescent="0.25">
      <c r="A874" s="25"/>
      <c r="N874">
        <v>1</v>
      </c>
      <c r="O874" s="8">
        <v>44802</v>
      </c>
      <c r="P874" s="8">
        <f t="shared" si="22"/>
        <v>44774</v>
      </c>
    </row>
    <row r="875" spans="1:16" x14ac:dyDescent="0.25">
      <c r="A875" s="25"/>
      <c r="N875">
        <v>1</v>
      </c>
      <c r="O875" s="8">
        <v>44803</v>
      </c>
      <c r="P875" s="8">
        <f t="shared" si="22"/>
        <v>44774</v>
      </c>
    </row>
    <row r="876" spans="1:16" x14ac:dyDescent="0.25">
      <c r="A876" s="25"/>
      <c r="N876">
        <v>1</v>
      </c>
      <c r="O876" s="8">
        <v>44804</v>
      </c>
      <c r="P876" s="8">
        <f t="shared" si="22"/>
        <v>44774</v>
      </c>
    </row>
    <row r="877" spans="1:16" x14ac:dyDescent="0.25">
      <c r="A877" s="25"/>
      <c r="N877">
        <v>1</v>
      </c>
      <c r="O877" s="8">
        <v>44805</v>
      </c>
      <c r="P877" s="8">
        <f t="shared" si="22"/>
        <v>44805</v>
      </c>
    </row>
    <row r="878" spans="1:16" x14ac:dyDescent="0.25">
      <c r="A878" s="25"/>
      <c r="N878">
        <v>1</v>
      </c>
      <c r="O878" s="8">
        <v>44806</v>
      </c>
      <c r="P878" s="8">
        <f t="shared" si="22"/>
        <v>44805</v>
      </c>
    </row>
    <row r="879" spans="1:16" x14ac:dyDescent="0.25">
      <c r="A879" s="25"/>
      <c r="N879">
        <v>1</v>
      </c>
      <c r="O879" s="8">
        <v>44807</v>
      </c>
      <c r="P879" s="8">
        <f t="shared" si="22"/>
        <v>44805</v>
      </c>
    </row>
    <row r="880" spans="1:16" x14ac:dyDescent="0.25">
      <c r="A880" s="25"/>
      <c r="N880">
        <v>1</v>
      </c>
      <c r="O880" s="8">
        <v>44808</v>
      </c>
      <c r="P880" s="8">
        <f t="shared" si="22"/>
        <v>44805</v>
      </c>
    </row>
    <row r="881" spans="1:16" x14ac:dyDescent="0.25">
      <c r="A881" s="25"/>
      <c r="N881">
        <v>1</v>
      </c>
      <c r="O881" s="8">
        <v>44809</v>
      </c>
      <c r="P881" s="8">
        <f t="shared" si="22"/>
        <v>44805</v>
      </c>
    </row>
    <row r="882" spans="1:16" x14ac:dyDescent="0.25">
      <c r="A882" s="25"/>
      <c r="N882">
        <v>1</v>
      </c>
      <c r="O882" s="8">
        <v>44779</v>
      </c>
      <c r="P882" s="8">
        <f t="shared" si="22"/>
        <v>44774</v>
      </c>
    </row>
    <row r="883" spans="1:16" x14ac:dyDescent="0.25">
      <c r="A883" s="25"/>
      <c r="N883">
        <v>1</v>
      </c>
      <c r="O883" s="8">
        <v>44780</v>
      </c>
      <c r="P883" s="8">
        <f t="shared" si="22"/>
        <v>44774</v>
      </c>
    </row>
    <row r="884" spans="1:16" x14ac:dyDescent="0.25">
      <c r="A884" s="25"/>
      <c r="N884">
        <v>1</v>
      </c>
      <c r="O884" s="8">
        <v>44781</v>
      </c>
      <c r="P884" s="8">
        <f t="shared" si="22"/>
        <v>44774</v>
      </c>
    </row>
    <row r="885" spans="1:16" x14ac:dyDescent="0.25">
      <c r="A885" s="25"/>
      <c r="N885">
        <v>1</v>
      </c>
      <c r="O885" s="8">
        <v>44782</v>
      </c>
      <c r="P885" s="8">
        <f t="shared" si="22"/>
        <v>44774</v>
      </c>
    </row>
    <row r="886" spans="1:16" x14ac:dyDescent="0.25">
      <c r="A886" s="25"/>
      <c r="N886">
        <v>1</v>
      </c>
      <c r="O886" s="8">
        <v>44783</v>
      </c>
      <c r="P886" s="8">
        <f t="shared" si="22"/>
        <v>44774</v>
      </c>
    </row>
    <row r="887" spans="1:16" x14ac:dyDescent="0.25">
      <c r="A887" s="25"/>
      <c r="N887">
        <v>1</v>
      </c>
      <c r="O887" s="8">
        <v>44784</v>
      </c>
      <c r="P887" s="8">
        <f t="shared" si="22"/>
        <v>44774</v>
      </c>
    </row>
    <row r="888" spans="1:16" x14ac:dyDescent="0.25">
      <c r="A888" s="25"/>
      <c r="N888">
        <v>1</v>
      </c>
      <c r="O888" s="8">
        <v>44785</v>
      </c>
      <c r="P888" s="8">
        <f t="shared" si="22"/>
        <v>44774</v>
      </c>
    </row>
    <row r="889" spans="1:16" x14ac:dyDescent="0.25">
      <c r="A889" s="25"/>
      <c r="N889">
        <v>2</v>
      </c>
      <c r="O889" s="8">
        <v>44828</v>
      </c>
      <c r="P889" s="8">
        <f t="shared" si="22"/>
        <v>44805</v>
      </c>
    </row>
    <row r="890" spans="1:16" x14ac:dyDescent="0.25">
      <c r="A890" s="25"/>
      <c r="N890">
        <v>2</v>
      </c>
      <c r="O890" s="8">
        <v>44829</v>
      </c>
      <c r="P890" s="8">
        <f t="shared" si="22"/>
        <v>44805</v>
      </c>
    </row>
    <row r="891" spans="1:16" x14ac:dyDescent="0.25">
      <c r="A891" s="25"/>
      <c r="N891">
        <v>2</v>
      </c>
      <c r="O891" s="8">
        <v>44831</v>
      </c>
      <c r="P891" s="8">
        <f t="shared" si="22"/>
        <v>44805</v>
      </c>
    </row>
    <row r="892" spans="1:16" x14ac:dyDescent="0.25">
      <c r="A892" s="25"/>
      <c r="N892">
        <v>2</v>
      </c>
      <c r="O892" s="8">
        <v>44833</v>
      </c>
      <c r="P892" s="8">
        <f t="shared" si="22"/>
        <v>44805</v>
      </c>
    </row>
    <row r="893" spans="1:16" x14ac:dyDescent="0.25">
      <c r="A893" s="25"/>
      <c r="N893">
        <v>2</v>
      </c>
      <c r="O893" s="8">
        <v>44834</v>
      </c>
      <c r="P893" s="8">
        <f t="shared" si="22"/>
        <v>44805</v>
      </c>
    </row>
    <row r="894" spans="1:16" x14ac:dyDescent="0.25">
      <c r="A894" s="25"/>
      <c r="N894">
        <v>2</v>
      </c>
      <c r="O894" s="8">
        <v>44835</v>
      </c>
      <c r="P894" s="8">
        <f t="shared" si="22"/>
        <v>44835</v>
      </c>
    </row>
    <row r="895" spans="1:16" x14ac:dyDescent="0.25">
      <c r="A895" s="25"/>
      <c r="N895">
        <v>2</v>
      </c>
      <c r="O895" s="8">
        <v>44724</v>
      </c>
      <c r="P895" s="8">
        <f t="shared" si="22"/>
        <v>44713</v>
      </c>
    </row>
    <row r="896" spans="1:16" x14ac:dyDescent="0.25">
      <c r="A896" s="25"/>
      <c r="N896">
        <v>2</v>
      </c>
      <c r="O896" s="8">
        <v>44725</v>
      </c>
      <c r="P896" s="8">
        <f t="shared" si="22"/>
        <v>44713</v>
      </c>
    </row>
    <row r="897" spans="1:16" x14ac:dyDescent="0.25">
      <c r="A897" s="25"/>
      <c r="N897">
        <v>2</v>
      </c>
      <c r="O897" s="8">
        <v>44726</v>
      </c>
      <c r="P897" s="8">
        <f t="shared" si="22"/>
        <v>44713</v>
      </c>
    </row>
    <row r="898" spans="1:16" x14ac:dyDescent="0.25">
      <c r="A898" s="25"/>
      <c r="N898">
        <v>2</v>
      </c>
      <c r="O898" s="8">
        <v>44728</v>
      </c>
      <c r="P898" s="8">
        <f t="shared" si="22"/>
        <v>44713</v>
      </c>
    </row>
    <row r="899" spans="1:16" x14ac:dyDescent="0.25">
      <c r="A899" s="25"/>
      <c r="N899">
        <v>2</v>
      </c>
      <c r="O899" s="8">
        <v>44729</v>
      </c>
      <c r="P899" s="8">
        <f t="shared" ref="P899:P962" si="23">DATE(YEAR(O899),MONTH(O899),1)</f>
        <v>44713</v>
      </c>
    </row>
    <row r="900" spans="1:16" x14ac:dyDescent="0.25">
      <c r="A900" s="25"/>
      <c r="N900">
        <v>2</v>
      </c>
      <c r="O900" s="8">
        <v>44730</v>
      </c>
      <c r="P900" s="8">
        <f t="shared" si="23"/>
        <v>44713</v>
      </c>
    </row>
    <row r="901" spans="1:16" x14ac:dyDescent="0.25">
      <c r="A901" s="25"/>
      <c r="N901">
        <v>2</v>
      </c>
      <c r="O901" s="8">
        <v>44731</v>
      </c>
      <c r="P901" s="8">
        <f t="shared" si="23"/>
        <v>44713</v>
      </c>
    </row>
    <row r="902" spans="1:16" x14ac:dyDescent="0.25">
      <c r="A902" s="25"/>
      <c r="N902">
        <v>2</v>
      </c>
      <c r="O902" s="8">
        <v>44732</v>
      </c>
      <c r="P902" s="8">
        <f t="shared" si="23"/>
        <v>44713</v>
      </c>
    </row>
    <row r="903" spans="1:16" x14ac:dyDescent="0.25">
      <c r="A903" s="25"/>
      <c r="N903">
        <v>2</v>
      </c>
      <c r="O903" s="8">
        <v>44734</v>
      </c>
      <c r="P903" s="8">
        <f t="shared" si="23"/>
        <v>44713</v>
      </c>
    </row>
    <row r="904" spans="1:16" x14ac:dyDescent="0.25">
      <c r="A904" s="25"/>
      <c r="N904">
        <v>2</v>
      </c>
      <c r="O904" s="8">
        <v>44735</v>
      </c>
      <c r="P904" s="8">
        <f t="shared" si="23"/>
        <v>44713</v>
      </c>
    </row>
    <row r="905" spans="1:16" x14ac:dyDescent="0.25">
      <c r="A905" s="25"/>
      <c r="N905">
        <v>2</v>
      </c>
      <c r="O905" s="8">
        <v>44751</v>
      </c>
      <c r="P905" s="8">
        <f t="shared" si="23"/>
        <v>44743</v>
      </c>
    </row>
    <row r="906" spans="1:16" x14ac:dyDescent="0.25">
      <c r="A906" s="25"/>
      <c r="N906">
        <v>2</v>
      </c>
      <c r="O906" s="8">
        <v>44752</v>
      </c>
      <c r="P906" s="8">
        <f t="shared" si="23"/>
        <v>44743</v>
      </c>
    </row>
    <row r="907" spans="1:16" x14ac:dyDescent="0.25">
      <c r="A907" s="25"/>
      <c r="N907">
        <v>2</v>
      </c>
      <c r="O907" s="8">
        <v>44753</v>
      </c>
      <c r="P907" s="8">
        <f t="shared" si="23"/>
        <v>44743</v>
      </c>
    </row>
    <row r="908" spans="1:16" x14ac:dyDescent="0.25">
      <c r="A908" s="25"/>
      <c r="N908">
        <v>2</v>
      </c>
      <c r="O908" s="8">
        <v>44755</v>
      </c>
      <c r="P908" s="8">
        <f t="shared" si="23"/>
        <v>44743</v>
      </c>
    </row>
    <row r="909" spans="1:16" x14ac:dyDescent="0.25">
      <c r="A909" s="25"/>
      <c r="N909">
        <v>2</v>
      </c>
      <c r="O909" s="8">
        <v>44756</v>
      </c>
      <c r="P909" s="8">
        <f t="shared" si="23"/>
        <v>44743</v>
      </c>
    </row>
    <row r="910" spans="1:16" x14ac:dyDescent="0.25">
      <c r="A910" s="25"/>
      <c r="N910">
        <v>2</v>
      </c>
      <c r="O910" s="8">
        <v>44757</v>
      </c>
      <c r="P910" s="8">
        <f t="shared" si="23"/>
        <v>44743</v>
      </c>
    </row>
    <row r="911" spans="1:16" x14ac:dyDescent="0.25">
      <c r="A911" s="25"/>
      <c r="N911">
        <v>2</v>
      </c>
      <c r="O911" s="8">
        <v>44758</v>
      </c>
      <c r="P911" s="8">
        <f t="shared" si="23"/>
        <v>44743</v>
      </c>
    </row>
    <row r="912" spans="1:16" x14ac:dyDescent="0.25">
      <c r="A912" s="25"/>
      <c r="N912">
        <v>2</v>
      </c>
      <c r="O912" s="8">
        <v>44759</v>
      </c>
      <c r="P912" s="8">
        <f t="shared" si="23"/>
        <v>44743</v>
      </c>
    </row>
    <row r="913" spans="1:16" x14ac:dyDescent="0.25">
      <c r="A913" s="25"/>
      <c r="N913">
        <v>2</v>
      </c>
      <c r="O913" s="8">
        <v>44760</v>
      </c>
      <c r="P913" s="8">
        <f t="shared" si="23"/>
        <v>44743</v>
      </c>
    </row>
    <row r="914" spans="1:16" x14ac:dyDescent="0.25">
      <c r="A914" s="25"/>
      <c r="N914">
        <v>2</v>
      </c>
      <c r="O914" s="8">
        <v>44761</v>
      </c>
      <c r="P914" s="8">
        <f t="shared" si="23"/>
        <v>44743</v>
      </c>
    </row>
    <row r="915" spans="1:16" x14ac:dyDescent="0.25">
      <c r="A915" s="25"/>
      <c r="N915">
        <v>2</v>
      </c>
      <c r="O915" s="8">
        <v>44762</v>
      </c>
      <c r="P915" s="8">
        <f t="shared" si="23"/>
        <v>44743</v>
      </c>
    </row>
    <row r="916" spans="1:16" x14ac:dyDescent="0.25">
      <c r="A916" s="25"/>
      <c r="N916">
        <v>2</v>
      </c>
      <c r="O916" s="8">
        <v>44763</v>
      </c>
      <c r="P916" s="8">
        <f t="shared" si="23"/>
        <v>44743</v>
      </c>
    </row>
    <row r="917" spans="1:16" x14ac:dyDescent="0.25">
      <c r="A917" s="25"/>
      <c r="N917">
        <v>2</v>
      </c>
      <c r="O917" s="8">
        <v>44764</v>
      </c>
      <c r="P917" s="8">
        <f t="shared" si="23"/>
        <v>44743</v>
      </c>
    </row>
    <row r="918" spans="1:16" x14ac:dyDescent="0.25">
      <c r="A918" s="25"/>
      <c r="N918">
        <v>2</v>
      </c>
      <c r="O918" s="8">
        <v>44765</v>
      </c>
      <c r="P918" s="8">
        <f t="shared" si="23"/>
        <v>44743</v>
      </c>
    </row>
    <row r="919" spans="1:16" x14ac:dyDescent="0.25">
      <c r="A919" s="25"/>
      <c r="N919">
        <v>2</v>
      </c>
      <c r="O919" s="8">
        <v>44766</v>
      </c>
      <c r="P919" s="8">
        <f t="shared" si="23"/>
        <v>44743</v>
      </c>
    </row>
    <row r="920" spans="1:16" x14ac:dyDescent="0.25">
      <c r="A920" s="25"/>
      <c r="N920">
        <v>2</v>
      </c>
      <c r="O920" s="8">
        <v>44768</v>
      </c>
      <c r="P920" s="8">
        <f t="shared" si="23"/>
        <v>44743</v>
      </c>
    </row>
    <row r="921" spans="1:16" x14ac:dyDescent="0.25">
      <c r="A921" s="25"/>
      <c r="N921">
        <v>2</v>
      </c>
      <c r="O921" s="8">
        <v>44769</v>
      </c>
      <c r="P921" s="8">
        <f t="shared" si="23"/>
        <v>44743</v>
      </c>
    </row>
    <row r="922" spans="1:16" x14ac:dyDescent="0.25">
      <c r="A922" s="25"/>
      <c r="N922">
        <v>2</v>
      </c>
      <c r="O922" s="8">
        <v>44770</v>
      </c>
      <c r="P922" s="8">
        <f t="shared" si="23"/>
        <v>44743</v>
      </c>
    </row>
    <row r="923" spans="1:16" x14ac:dyDescent="0.25">
      <c r="A923" s="25"/>
      <c r="N923">
        <v>2</v>
      </c>
      <c r="O923" s="8">
        <v>44771</v>
      </c>
      <c r="P923" s="8">
        <f t="shared" si="23"/>
        <v>44743</v>
      </c>
    </row>
    <row r="924" spans="1:16" x14ac:dyDescent="0.25">
      <c r="A924" s="25"/>
      <c r="N924">
        <v>2</v>
      </c>
      <c r="O924" s="8">
        <v>44772</v>
      </c>
      <c r="P924" s="8">
        <f t="shared" si="23"/>
        <v>44743</v>
      </c>
    </row>
    <row r="925" spans="1:16" x14ac:dyDescent="0.25">
      <c r="A925" s="25"/>
      <c r="N925">
        <v>2</v>
      </c>
      <c r="O925" s="8">
        <v>44773</v>
      </c>
      <c r="P925" s="8">
        <f t="shared" si="23"/>
        <v>44743</v>
      </c>
    </row>
    <row r="926" spans="1:16" x14ac:dyDescent="0.25">
      <c r="A926" s="25"/>
      <c r="N926">
        <v>2</v>
      </c>
      <c r="O926" s="8">
        <v>44774</v>
      </c>
      <c r="P926" s="8">
        <f t="shared" si="23"/>
        <v>44774</v>
      </c>
    </row>
    <row r="927" spans="1:16" x14ac:dyDescent="0.25">
      <c r="A927" s="25"/>
      <c r="N927">
        <v>2</v>
      </c>
      <c r="O927" s="8">
        <v>44775</v>
      </c>
      <c r="P927" s="8">
        <f t="shared" si="23"/>
        <v>44774</v>
      </c>
    </row>
    <row r="928" spans="1:16" x14ac:dyDescent="0.25">
      <c r="A928" s="25"/>
      <c r="N928">
        <v>2</v>
      </c>
      <c r="O928" s="8">
        <v>44776</v>
      </c>
      <c r="P928" s="8">
        <f t="shared" si="23"/>
        <v>44774</v>
      </c>
    </row>
    <row r="929" spans="1:16" x14ac:dyDescent="0.25">
      <c r="A929" s="25"/>
      <c r="N929">
        <v>2</v>
      </c>
      <c r="O929" s="8">
        <v>44777</v>
      </c>
      <c r="P929" s="8">
        <f t="shared" si="23"/>
        <v>44774</v>
      </c>
    </row>
    <row r="930" spans="1:16" x14ac:dyDescent="0.25">
      <c r="A930" s="25"/>
      <c r="N930">
        <v>2</v>
      </c>
      <c r="O930" s="8">
        <v>44785</v>
      </c>
      <c r="P930" s="8">
        <f t="shared" si="23"/>
        <v>44774</v>
      </c>
    </row>
    <row r="931" spans="1:16" x14ac:dyDescent="0.25">
      <c r="A931" s="25"/>
      <c r="N931">
        <v>2</v>
      </c>
      <c r="O931" s="8">
        <v>44786</v>
      </c>
      <c r="P931" s="8">
        <f t="shared" si="23"/>
        <v>44774</v>
      </c>
    </row>
    <row r="932" spans="1:16" x14ac:dyDescent="0.25">
      <c r="A932" s="25"/>
      <c r="N932">
        <v>2</v>
      </c>
      <c r="O932" s="8">
        <v>44788</v>
      </c>
      <c r="P932" s="8">
        <f t="shared" si="23"/>
        <v>44774</v>
      </c>
    </row>
    <row r="933" spans="1:16" x14ac:dyDescent="0.25">
      <c r="A933" s="25"/>
      <c r="N933">
        <v>2</v>
      </c>
      <c r="O933" s="8">
        <v>44790</v>
      </c>
      <c r="P933" s="8">
        <f t="shared" si="23"/>
        <v>44774</v>
      </c>
    </row>
    <row r="934" spans="1:16" x14ac:dyDescent="0.25">
      <c r="A934" s="25"/>
      <c r="N934">
        <v>2</v>
      </c>
      <c r="O934" s="8">
        <v>44791</v>
      </c>
      <c r="P934" s="8">
        <f t="shared" si="23"/>
        <v>44774</v>
      </c>
    </row>
    <row r="935" spans="1:16" x14ac:dyDescent="0.25">
      <c r="A935" s="25"/>
      <c r="N935">
        <v>2</v>
      </c>
      <c r="O935" s="8">
        <v>44793</v>
      </c>
      <c r="P935" s="8">
        <f t="shared" si="23"/>
        <v>44774</v>
      </c>
    </row>
    <row r="936" spans="1:16" x14ac:dyDescent="0.25">
      <c r="A936" s="25"/>
      <c r="N936">
        <v>2</v>
      </c>
      <c r="O936" s="8">
        <v>44796</v>
      </c>
      <c r="P936" s="8">
        <f t="shared" si="23"/>
        <v>44774</v>
      </c>
    </row>
    <row r="937" spans="1:16" x14ac:dyDescent="0.25">
      <c r="A937" s="25"/>
      <c r="N937">
        <v>2</v>
      </c>
      <c r="O937" s="8">
        <v>44797</v>
      </c>
      <c r="P937" s="8">
        <f t="shared" si="23"/>
        <v>44774</v>
      </c>
    </row>
    <row r="938" spans="1:16" x14ac:dyDescent="0.25">
      <c r="A938" s="25"/>
      <c r="N938">
        <v>2</v>
      </c>
      <c r="O938" s="8">
        <v>44798</v>
      </c>
      <c r="P938" s="8">
        <f t="shared" si="23"/>
        <v>44774</v>
      </c>
    </row>
    <row r="939" spans="1:16" x14ac:dyDescent="0.25">
      <c r="A939" s="25"/>
      <c r="N939">
        <v>2</v>
      </c>
      <c r="O939" s="8">
        <v>44800</v>
      </c>
      <c r="P939" s="8">
        <f t="shared" si="23"/>
        <v>44774</v>
      </c>
    </row>
    <row r="940" spans="1:16" x14ac:dyDescent="0.25">
      <c r="A940" s="25"/>
      <c r="N940">
        <v>2</v>
      </c>
      <c r="O940" s="8">
        <v>44802</v>
      </c>
      <c r="P940" s="8">
        <f t="shared" si="23"/>
        <v>44774</v>
      </c>
    </row>
    <row r="941" spans="1:16" x14ac:dyDescent="0.25">
      <c r="A941" s="25"/>
      <c r="N941">
        <v>2</v>
      </c>
      <c r="O941" s="8">
        <v>44807</v>
      </c>
      <c r="P941" s="8">
        <f t="shared" si="23"/>
        <v>44805</v>
      </c>
    </row>
    <row r="942" spans="1:16" x14ac:dyDescent="0.25">
      <c r="A942" s="25"/>
      <c r="N942">
        <v>2</v>
      </c>
      <c r="O942" s="8">
        <v>44778</v>
      </c>
      <c r="P942" s="8">
        <f t="shared" si="23"/>
        <v>44774</v>
      </c>
    </row>
    <row r="943" spans="1:16" x14ac:dyDescent="0.25">
      <c r="A943" s="25"/>
      <c r="N943">
        <v>2</v>
      </c>
      <c r="O943" s="8">
        <v>44779</v>
      </c>
      <c r="P943" s="8">
        <f t="shared" si="23"/>
        <v>44774</v>
      </c>
    </row>
    <row r="944" spans="1:16" x14ac:dyDescent="0.25">
      <c r="A944" s="25"/>
      <c r="N944">
        <v>2</v>
      </c>
      <c r="O944" s="8">
        <v>44780</v>
      </c>
      <c r="P944" s="8">
        <f t="shared" si="23"/>
        <v>44774</v>
      </c>
    </row>
    <row r="945" spans="1:16" x14ac:dyDescent="0.25">
      <c r="A945" s="25"/>
      <c r="N945">
        <v>2</v>
      </c>
      <c r="O945" s="8">
        <v>44782</v>
      </c>
      <c r="P945" s="8">
        <f t="shared" si="23"/>
        <v>44774</v>
      </c>
    </row>
    <row r="946" spans="1:16" x14ac:dyDescent="0.25">
      <c r="A946" s="25"/>
      <c r="N946">
        <v>2</v>
      </c>
      <c r="O946" s="8">
        <v>44803</v>
      </c>
      <c r="P946" s="8">
        <f t="shared" si="23"/>
        <v>44774</v>
      </c>
    </row>
    <row r="947" spans="1:16" x14ac:dyDescent="0.25">
      <c r="A947" s="25"/>
      <c r="N947">
        <v>2</v>
      </c>
      <c r="O947" s="8">
        <v>44804</v>
      </c>
      <c r="P947" s="8">
        <f t="shared" si="23"/>
        <v>44774</v>
      </c>
    </row>
    <row r="948" spans="1:16" x14ac:dyDescent="0.25">
      <c r="A948" s="25"/>
      <c r="N948">
        <v>2</v>
      </c>
      <c r="O948" s="8">
        <v>44805</v>
      </c>
      <c r="P948" s="8">
        <f t="shared" si="23"/>
        <v>44805</v>
      </c>
    </row>
    <row r="949" spans="1:16" x14ac:dyDescent="0.25">
      <c r="A949" s="25"/>
      <c r="N949">
        <v>2</v>
      </c>
      <c r="O949" s="8">
        <v>44806</v>
      </c>
      <c r="P949" s="8">
        <f t="shared" si="23"/>
        <v>44805</v>
      </c>
    </row>
    <row r="950" spans="1:16" x14ac:dyDescent="0.25">
      <c r="A950" s="25"/>
      <c r="N950">
        <v>2</v>
      </c>
      <c r="O950" s="8">
        <v>44808</v>
      </c>
      <c r="P950" s="8">
        <f t="shared" si="23"/>
        <v>44805</v>
      </c>
    </row>
    <row r="951" spans="1:16" x14ac:dyDescent="0.25">
      <c r="A951" s="25"/>
      <c r="N951">
        <v>2</v>
      </c>
      <c r="O951" s="8">
        <v>44809</v>
      </c>
      <c r="P951" s="8">
        <f t="shared" si="23"/>
        <v>44805</v>
      </c>
    </row>
    <row r="952" spans="1:16" x14ac:dyDescent="0.25">
      <c r="A952" s="25"/>
      <c r="N952">
        <v>2</v>
      </c>
      <c r="O952" s="8">
        <v>44810</v>
      </c>
      <c r="P952" s="8">
        <f t="shared" si="23"/>
        <v>44805</v>
      </c>
    </row>
    <row r="953" spans="1:16" x14ac:dyDescent="0.25">
      <c r="A953" s="25"/>
      <c r="N953">
        <v>2</v>
      </c>
      <c r="O953" s="8">
        <v>44811</v>
      </c>
      <c r="P953" s="8">
        <f t="shared" si="23"/>
        <v>44805</v>
      </c>
    </row>
    <row r="954" spans="1:16" x14ac:dyDescent="0.25">
      <c r="A954" s="25"/>
      <c r="N954">
        <v>2</v>
      </c>
      <c r="O954" s="8">
        <v>44813</v>
      </c>
      <c r="P954" s="8">
        <f t="shared" si="23"/>
        <v>44805</v>
      </c>
    </row>
    <row r="955" spans="1:16" x14ac:dyDescent="0.25">
      <c r="A955" s="25"/>
      <c r="N955">
        <v>2</v>
      </c>
      <c r="O955" s="8">
        <v>44814</v>
      </c>
      <c r="P955" s="8">
        <f t="shared" si="23"/>
        <v>44805</v>
      </c>
    </row>
    <row r="956" spans="1:16" x14ac:dyDescent="0.25">
      <c r="A956" s="25"/>
      <c r="N956">
        <v>2</v>
      </c>
      <c r="O956" s="8">
        <v>44816</v>
      </c>
      <c r="P956" s="8">
        <f t="shared" si="23"/>
        <v>44805</v>
      </c>
    </row>
    <row r="957" spans="1:16" x14ac:dyDescent="0.25">
      <c r="A957" s="25"/>
      <c r="N957">
        <v>2</v>
      </c>
      <c r="O957" s="8">
        <v>44817</v>
      </c>
      <c r="P957" s="8">
        <f t="shared" si="23"/>
        <v>44805</v>
      </c>
    </row>
    <row r="958" spans="1:16" x14ac:dyDescent="0.25">
      <c r="A958" s="25"/>
      <c r="N958">
        <v>2</v>
      </c>
      <c r="O958" s="8">
        <v>44818</v>
      </c>
      <c r="P958" s="8">
        <f t="shared" si="23"/>
        <v>44805</v>
      </c>
    </row>
    <row r="959" spans="1:16" x14ac:dyDescent="0.25">
      <c r="A959" s="25"/>
      <c r="N959">
        <v>2</v>
      </c>
      <c r="O959" s="8">
        <v>44819</v>
      </c>
      <c r="P959" s="8">
        <f t="shared" si="23"/>
        <v>44805</v>
      </c>
    </row>
    <row r="960" spans="1:16" x14ac:dyDescent="0.25">
      <c r="A960" s="25"/>
      <c r="N960">
        <v>2</v>
      </c>
      <c r="O960" s="8">
        <v>44821</v>
      </c>
      <c r="P960" s="8">
        <f t="shared" si="23"/>
        <v>44805</v>
      </c>
    </row>
    <row r="961" spans="1:16" x14ac:dyDescent="0.25">
      <c r="A961" s="25"/>
      <c r="N961">
        <v>2</v>
      </c>
      <c r="O961" s="8">
        <v>44822</v>
      </c>
      <c r="P961" s="8">
        <f t="shared" si="23"/>
        <v>44805</v>
      </c>
    </row>
    <row r="962" spans="1:16" x14ac:dyDescent="0.25">
      <c r="A962" s="25"/>
      <c r="N962">
        <v>2</v>
      </c>
      <c r="O962" s="8">
        <v>44823</v>
      </c>
      <c r="P962" s="8">
        <f t="shared" si="23"/>
        <v>44805</v>
      </c>
    </row>
    <row r="963" spans="1:16" x14ac:dyDescent="0.25">
      <c r="A963" s="25"/>
      <c r="N963">
        <v>2</v>
      </c>
      <c r="O963" s="8">
        <v>44824</v>
      </c>
      <c r="P963" s="8">
        <f t="shared" ref="P963:P1026" si="24">DATE(YEAR(O963),MONTH(O963),1)</f>
        <v>44805</v>
      </c>
    </row>
    <row r="964" spans="1:16" x14ac:dyDescent="0.25">
      <c r="A964" s="25"/>
      <c r="N964">
        <v>2</v>
      </c>
      <c r="O964" s="8">
        <v>44825</v>
      </c>
      <c r="P964" s="8">
        <f t="shared" si="24"/>
        <v>44805</v>
      </c>
    </row>
    <row r="965" spans="1:16" x14ac:dyDescent="0.25">
      <c r="A965" s="25"/>
      <c r="N965">
        <v>2</v>
      </c>
      <c r="O965" s="8">
        <v>44826</v>
      </c>
      <c r="P965" s="8">
        <f t="shared" si="24"/>
        <v>44805</v>
      </c>
    </row>
    <row r="966" spans="1:16" x14ac:dyDescent="0.25">
      <c r="A966" s="25"/>
      <c r="N966">
        <v>2</v>
      </c>
      <c r="O966" s="8">
        <v>44827</v>
      </c>
      <c r="P966" s="8">
        <f t="shared" si="24"/>
        <v>44805</v>
      </c>
    </row>
    <row r="967" spans="1:16" x14ac:dyDescent="0.25">
      <c r="A967" s="25"/>
      <c r="N967">
        <v>2</v>
      </c>
      <c r="O967" s="8">
        <v>44830</v>
      </c>
      <c r="P967" s="8">
        <f t="shared" si="24"/>
        <v>44805</v>
      </c>
    </row>
    <row r="968" spans="1:16" x14ac:dyDescent="0.25">
      <c r="A968" s="25"/>
      <c r="N968">
        <v>2</v>
      </c>
      <c r="O968" s="8">
        <v>44836</v>
      </c>
      <c r="P968" s="8">
        <f t="shared" si="24"/>
        <v>44835</v>
      </c>
    </row>
    <row r="969" spans="1:16" x14ac:dyDescent="0.25">
      <c r="A969" s="25"/>
      <c r="N969">
        <v>2</v>
      </c>
      <c r="O969" s="8">
        <v>44837</v>
      </c>
      <c r="P969" s="8">
        <f t="shared" si="24"/>
        <v>44835</v>
      </c>
    </row>
    <row r="970" spans="1:16" x14ac:dyDescent="0.25">
      <c r="A970" s="25"/>
      <c r="N970">
        <v>2</v>
      </c>
      <c r="O970" s="8">
        <v>44838</v>
      </c>
      <c r="P970" s="8">
        <f t="shared" si="24"/>
        <v>44835</v>
      </c>
    </row>
    <row r="971" spans="1:16" x14ac:dyDescent="0.25">
      <c r="A971" s="25"/>
      <c r="N971">
        <v>2</v>
      </c>
      <c r="O971" s="8">
        <v>44839</v>
      </c>
      <c r="P971" s="8">
        <f t="shared" si="24"/>
        <v>44835</v>
      </c>
    </row>
    <row r="972" spans="1:16" x14ac:dyDescent="0.25">
      <c r="A972" s="25"/>
      <c r="N972">
        <v>2</v>
      </c>
      <c r="O972" s="8">
        <v>44840</v>
      </c>
      <c r="P972" s="8">
        <f t="shared" si="24"/>
        <v>44835</v>
      </c>
    </row>
    <row r="973" spans="1:16" x14ac:dyDescent="0.25">
      <c r="A973" s="25"/>
      <c r="N973">
        <v>2</v>
      </c>
      <c r="O973" s="8">
        <v>44841</v>
      </c>
      <c r="P973" s="8">
        <f t="shared" si="24"/>
        <v>44835</v>
      </c>
    </row>
    <row r="974" spans="1:16" x14ac:dyDescent="0.25">
      <c r="A974" s="25"/>
      <c r="N974">
        <v>2</v>
      </c>
      <c r="O974" s="8">
        <v>44842</v>
      </c>
      <c r="P974" s="8">
        <f t="shared" si="24"/>
        <v>44835</v>
      </c>
    </row>
    <row r="975" spans="1:16" x14ac:dyDescent="0.25">
      <c r="A975" s="25"/>
      <c r="N975">
        <v>2</v>
      </c>
      <c r="O975" s="8">
        <v>44783</v>
      </c>
      <c r="P975" s="8">
        <f t="shared" si="24"/>
        <v>44774</v>
      </c>
    </row>
    <row r="976" spans="1:16" x14ac:dyDescent="0.25">
      <c r="A976" s="25"/>
      <c r="N976">
        <v>2</v>
      </c>
      <c r="O976" s="8">
        <v>44784</v>
      </c>
      <c r="P976" s="8">
        <f t="shared" si="24"/>
        <v>44774</v>
      </c>
    </row>
    <row r="977" spans="1:16" x14ac:dyDescent="0.25">
      <c r="A977" s="25"/>
      <c r="N977">
        <v>2</v>
      </c>
      <c r="O977" s="8">
        <v>44789</v>
      </c>
      <c r="P977" s="8">
        <f t="shared" si="24"/>
        <v>44774</v>
      </c>
    </row>
    <row r="978" spans="1:16" x14ac:dyDescent="0.25">
      <c r="A978" s="25"/>
      <c r="N978">
        <v>2</v>
      </c>
      <c r="O978" s="8">
        <v>44792</v>
      </c>
      <c r="P978" s="8">
        <f t="shared" si="24"/>
        <v>44774</v>
      </c>
    </row>
    <row r="979" spans="1:16" x14ac:dyDescent="0.25">
      <c r="A979" s="25"/>
      <c r="N979">
        <v>2</v>
      </c>
      <c r="O979" s="8">
        <v>44794</v>
      </c>
      <c r="P979" s="8">
        <f t="shared" si="24"/>
        <v>44774</v>
      </c>
    </row>
    <row r="980" spans="1:16" x14ac:dyDescent="0.25">
      <c r="A980" s="25"/>
      <c r="N980">
        <v>2</v>
      </c>
      <c r="O980" s="8">
        <v>44795</v>
      </c>
      <c r="P980" s="8">
        <f t="shared" si="24"/>
        <v>44774</v>
      </c>
    </row>
    <row r="981" spans="1:16" x14ac:dyDescent="0.25">
      <c r="A981" s="25"/>
      <c r="N981">
        <v>2</v>
      </c>
      <c r="O981" s="8">
        <v>44799</v>
      </c>
      <c r="P981" s="8">
        <f t="shared" si="24"/>
        <v>44774</v>
      </c>
    </row>
    <row r="982" spans="1:16" x14ac:dyDescent="0.25">
      <c r="A982" s="25"/>
      <c r="N982">
        <v>2</v>
      </c>
      <c r="O982" s="8">
        <v>44736</v>
      </c>
      <c r="P982" s="8">
        <f t="shared" si="24"/>
        <v>44713</v>
      </c>
    </row>
    <row r="983" spans="1:16" x14ac:dyDescent="0.25">
      <c r="A983" s="25"/>
      <c r="N983">
        <v>2</v>
      </c>
      <c r="O983" s="8">
        <v>44737</v>
      </c>
      <c r="P983" s="8">
        <f t="shared" si="24"/>
        <v>44713</v>
      </c>
    </row>
    <row r="984" spans="1:16" x14ac:dyDescent="0.25">
      <c r="A984" s="25"/>
      <c r="N984">
        <v>2</v>
      </c>
      <c r="O984" s="8">
        <v>44739</v>
      </c>
      <c r="P984" s="8">
        <f t="shared" si="24"/>
        <v>44713</v>
      </c>
    </row>
    <row r="985" spans="1:16" x14ac:dyDescent="0.25">
      <c r="A985" s="25"/>
      <c r="N985">
        <v>2</v>
      </c>
      <c r="O985" s="8">
        <v>44740</v>
      </c>
      <c r="P985" s="8">
        <f t="shared" si="24"/>
        <v>44713</v>
      </c>
    </row>
    <row r="986" spans="1:16" x14ac:dyDescent="0.25">
      <c r="A986" s="25"/>
      <c r="N986">
        <v>2</v>
      </c>
      <c r="O986" s="8">
        <v>44741</v>
      </c>
      <c r="P986" s="8">
        <f t="shared" si="24"/>
        <v>44713</v>
      </c>
    </row>
    <row r="987" spans="1:16" x14ac:dyDescent="0.25">
      <c r="A987" s="25"/>
      <c r="N987">
        <v>2</v>
      </c>
      <c r="O987" s="8">
        <v>44742</v>
      </c>
      <c r="P987" s="8">
        <f t="shared" si="24"/>
        <v>44713</v>
      </c>
    </row>
    <row r="988" spans="1:16" x14ac:dyDescent="0.25">
      <c r="A988" s="25"/>
      <c r="N988">
        <v>2</v>
      </c>
      <c r="O988" s="8">
        <v>44743</v>
      </c>
      <c r="P988" s="8">
        <f t="shared" si="24"/>
        <v>44743</v>
      </c>
    </row>
    <row r="989" spans="1:16" x14ac:dyDescent="0.25">
      <c r="A989" s="25"/>
      <c r="N989">
        <v>2</v>
      </c>
      <c r="O989" s="8">
        <v>44744</v>
      </c>
      <c r="P989" s="8">
        <f t="shared" si="24"/>
        <v>44743</v>
      </c>
    </row>
    <row r="990" spans="1:16" x14ac:dyDescent="0.25">
      <c r="A990" s="25"/>
      <c r="N990">
        <v>2</v>
      </c>
      <c r="O990" s="8">
        <v>44746</v>
      </c>
      <c r="P990" s="8">
        <f t="shared" si="24"/>
        <v>44743</v>
      </c>
    </row>
    <row r="991" spans="1:16" x14ac:dyDescent="0.25">
      <c r="A991" s="25"/>
      <c r="N991">
        <v>2</v>
      </c>
      <c r="O991" s="8">
        <v>44747</v>
      </c>
      <c r="P991" s="8">
        <f t="shared" si="24"/>
        <v>44743</v>
      </c>
    </row>
    <row r="992" spans="1:16" x14ac:dyDescent="0.25">
      <c r="A992" s="25"/>
      <c r="N992">
        <v>2</v>
      </c>
      <c r="O992" s="8">
        <v>44748</v>
      </c>
      <c r="P992" s="8">
        <f t="shared" si="24"/>
        <v>44743</v>
      </c>
    </row>
    <row r="993" spans="1:16" x14ac:dyDescent="0.25">
      <c r="A993" s="25"/>
      <c r="N993">
        <v>2</v>
      </c>
      <c r="O993" s="8">
        <v>44750</v>
      </c>
      <c r="P993" s="8">
        <f t="shared" si="24"/>
        <v>44743</v>
      </c>
    </row>
    <row r="994" spans="1:16" x14ac:dyDescent="0.25">
      <c r="A994" s="25"/>
      <c r="N994">
        <v>3</v>
      </c>
      <c r="O994" s="8">
        <v>44755</v>
      </c>
      <c r="P994" s="8">
        <f t="shared" si="24"/>
        <v>44743</v>
      </c>
    </row>
    <row r="995" spans="1:16" x14ac:dyDescent="0.25">
      <c r="A995" s="25"/>
      <c r="N995">
        <v>3</v>
      </c>
      <c r="O995" s="8">
        <v>44757</v>
      </c>
      <c r="P995" s="8">
        <f t="shared" si="24"/>
        <v>44743</v>
      </c>
    </row>
    <row r="996" spans="1:16" x14ac:dyDescent="0.25">
      <c r="A996" s="25"/>
      <c r="N996">
        <v>3</v>
      </c>
      <c r="O996" s="8">
        <v>44758</v>
      </c>
      <c r="P996" s="8">
        <f t="shared" si="24"/>
        <v>44743</v>
      </c>
    </row>
    <row r="997" spans="1:16" x14ac:dyDescent="0.25">
      <c r="A997" s="25"/>
      <c r="N997">
        <v>3</v>
      </c>
      <c r="O997" s="8">
        <v>44764</v>
      </c>
      <c r="P997" s="8">
        <f t="shared" si="24"/>
        <v>44743</v>
      </c>
    </row>
    <row r="998" spans="1:16" x14ac:dyDescent="0.25">
      <c r="A998" s="25"/>
      <c r="N998">
        <v>3</v>
      </c>
      <c r="O998" s="8">
        <v>44765</v>
      </c>
      <c r="P998" s="8">
        <f t="shared" si="24"/>
        <v>44743</v>
      </c>
    </row>
    <row r="999" spans="1:16" x14ac:dyDescent="0.25">
      <c r="A999" s="25"/>
      <c r="N999">
        <v>3</v>
      </c>
      <c r="O999" s="8">
        <v>44766</v>
      </c>
      <c r="P999" s="8">
        <f t="shared" si="24"/>
        <v>44743</v>
      </c>
    </row>
    <row r="1000" spans="1:16" x14ac:dyDescent="0.25">
      <c r="A1000" s="25"/>
      <c r="N1000">
        <v>3</v>
      </c>
      <c r="O1000" s="8">
        <v>44843</v>
      </c>
      <c r="P1000" s="8">
        <f t="shared" si="24"/>
        <v>44835</v>
      </c>
    </row>
    <row r="1001" spans="1:16" x14ac:dyDescent="0.25">
      <c r="A1001" s="25"/>
      <c r="N1001">
        <v>3</v>
      </c>
      <c r="O1001" s="8">
        <v>44844</v>
      </c>
      <c r="P1001" s="8">
        <f t="shared" si="24"/>
        <v>44835</v>
      </c>
    </row>
    <row r="1002" spans="1:16" x14ac:dyDescent="0.25">
      <c r="A1002" s="25"/>
      <c r="N1002">
        <v>3</v>
      </c>
      <c r="O1002" s="8">
        <v>44904</v>
      </c>
      <c r="P1002" s="8">
        <f t="shared" si="24"/>
        <v>44896</v>
      </c>
    </row>
    <row r="1003" spans="1:16" x14ac:dyDescent="0.25">
      <c r="A1003" s="25"/>
      <c r="N1003">
        <v>3</v>
      </c>
      <c r="O1003" s="8">
        <v>44905</v>
      </c>
      <c r="P1003" s="8">
        <f t="shared" si="24"/>
        <v>44896</v>
      </c>
    </row>
    <row r="1004" spans="1:16" x14ac:dyDescent="0.25">
      <c r="A1004" s="25"/>
      <c r="N1004">
        <v>3</v>
      </c>
      <c r="O1004" s="8">
        <v>44753</v>
      </c>
      <c r="P1004" s="8">
        <f t="shared" si="24"/>
        <v>44743</v>
      </c>
    </row>
    <row r="1005" spans="1:16" x14ac:dyDescent="0.25">
      <c r="A1005" s="25"/>
      <c r="N1005">
        <v>3</v>
      </c>
      <c r="O1005" s="8">
        <v>44760</v>
      </c>
      <c r="P1005" s="8">
        <f t="shared" si="24"/>
        <v>44743</v>
      </c>
    </row>
    <row r="1006" spans="1:16" x14ac:dyDescent="0.25">
      <c r="A1006" s="25"/>
      <c r="N1006">
        <v>3</v>
      </c>
      <c r="O1006" s="8">
        <v>44761</v>
      </c>
      <c r="P1006" s="8">
        <f t="shared" si="24"/>
        <v>44743</v>
      </c>
    </row>
    <row r="1007" spans="1:16" x14ac:dyDescent="0.25">
      <c r="A1007" s="25"/>
      <c r="N1007">
        <v>3</v>
      </c>
      <c r="O1007" s="8">
        <v>44762</v>
      </c>
      <c r="P1007" s="8">
        <f t="shared" si="24"/>
        <v>44743</v>
      </c>
    </row>
    <row r="1008" spans="1:16" x14ac:dyDescent="0.25">
      <c r="A1008" s="25"/>
      <c r="N1008">
        <v>3</v>
      </c>
      <c r="O1008" s="8">
        <v>44763</v>
      </c>
      <c r="P1008" s="8">
        <f t="shared" si="24"/>
        <v>44743</v>
      </c>
    </row>
    <row r="1009" spans="1:16" x14ac:dyDescent="0.25">
      <c r="A1009" s="25"/>
      <c r="N1009">
        <v>3</v>
      </c>
      <c r="O1009" s="8">
        <v>44793</v>
      </c>
      <c r="P1009" s="8">
        <f t="shared" si="24"/>
        <v>44774</v>
      </c>
    </row>
    <row r="1010" spans="1:16" x14ac:dyDescent="0.25">
      <c r="A1010" s="25"/>
      <c r="N1010">
        <v>3</v>
      </c>
      <c r="O1010" s="8">
        <v>44794</v>
      </c>
      <c r="P1010" s="8">
        <f t="shared" si="24"/>
        <v>44774</v>
      </c>
    </row>
    <row r="1011" spans="1:16" x14ac:dyDescent="0.25">
      <c r="A1011" s="25"/>
      <c r="N1011">
        <v>3</v>
      </c>
      <c r="O1011" s="8">
        <v>44795</v>
      </c>
      <c r="P1011" s="8">
        <f t="shared" si="24"/>
        <v>44774</v>
      </c>
    </row>
    <row r="1012" spans="1:16" x14ac:dyDescent="0.25">
      <c r="A1012" s="25"/>
      <c r="N1012">
        <v>3</v>
      </c>
      <c r="O1012" s="8">
        <v>44796</v>
      </c>
      <c r="P1012" s="8">
        <f t="shared" si="24"/>
        <v>44774</v>
      </c>
    </row>
    <row r="1013" spans="1:16" x14ac:dyDescent="0.25">
      <c r="A1013" s="25"/>
      <c r="N1013">
        <v>3</v>
      </c>
      <c r="O1013" s="8">
        <v>44810</v>
      </c>
      <c r="P1013" s="8">
        <f t="shared" si="24"/>
        <v>44805</v>
      </c>
    </row>
    <row r="1014" spans="1:16" x14ac:dyDescent="0.25">
      <c r="A1014" s="25"/>
      <c r="N1014">
        <v>3</v>
      </c>
      <c r="O1014" s="8">
        <v>44811</v>
      </c>
      <c r="P1014" s="8">
        <f t="shared" si="24"/>
        <v>44805</v>
      </c>
    </row>
    <row r="1015" spans="1:16" x14ac:dyDescent="0.25">
      <c r="A1015" s="25"/>
      <c r="N1015">
        <v>3</v>
      </c>
      <c r="O1015" s="8">
        <v>44812</v>
      </c>
      <c r="P1015" s="8">
        <f t="shared" si="24"/>
        <v>44805</v>
      </c>
    </row>
    <row r="1016" spans="1:16" x14ac:dyDescent="0.25">
      <c r="A1016" s="25"/>
      <c r="N1016">
        <v>3</v>
      </c>
      <c r="O1016" s="8">
        <v>44815</v>
      </c>
      <c r="P1016" s="8">
        <f t="shared" si="24"/>
        <v>44805</v>
      </c>
    </row>
    <row r="1017" spans="1:16" x14ac:dyDescent="0.25">
      <c r="A1017" s="25"/>
      <c r="N1017">
        <v>3</v>
      </c>
      <c r="O1017" s="8">
        <v>44816</v>
      </c>
      <c r="P1017" s="8">
        <f t="shared" si="24"/>
        <v>44805</v>
      </c>
    </row>
    <row r="1018" spans="1:16" x14ac:dyDescent="0.25">
      <c r="A1018" s="25"/>
      <c r="N1018">
        <v>3</v>
      </c>
      <c r="O1018" s="8">
        <v>44817</v>
      </c>
      <c r="P1018" s="8">
        <f t="shared" si="24"/>
        <v>44805</v>
      </c>
    </row>
    <row r="1019" spans="1:16" x14ac:dyDescent="0.25">
      <c r="A1019" s="25"/>
      <c r="N1019">
        <v>3</v>
      </c>
      <c r="O1019" s="8">
        <v>44818</v>
      </c>
      <c r="P1019" s="8">
        <f t="shared" si="24"/>
        <v>44805</v>
      </c>
    </row>
    <row r="1020" spans="1:16" x14ac:dyDescent="0.25">
      <c r="A1020" s="25"/>
      <c r="N1020">
        <v>3</v>
      </c>
      <c r="O1020" s="8">
        <v>44819</v>
      </c>
      <c r="P1020" s="8">
        <f t="shared" si="24"/>
        <v>44805</v>
      </c>
    </row>
    <row r="1021" spans="1:16" x14ac:dyDescent="0.25">
      <c r="A1021" s="25"/>
      <c r="N1021">
        <v>3</v>
      </c>
      <c r="O1021" s="8">
        <v>44820</v>
      </c>
      <c r="P1021" s="8">
        <f t="shared" si="24"/>
        <v>44805</v>
      </c>
    </row>
    <row r="1022" spans="1:16" x14ac:dyDescent="0.25">
      <c r="A1022" s="25"/>
      <c r="N1022">
        <v>3</v>
      </c>
      <c r="O1022" s="8">
        <v>44822</v>
      </c>
      <c r="P1022" s="8">
        <f t="shared" si="24"/>
        <v>44805</v>
      </c>
    </row>
    <row r="1023" spans="1:16" x14ac:dyDescent="0.25">
      <c r="A1023" s="25"/>
      <c r="N1023">
        <v>3</v>
      </c>
      <c r="O1023" s="8">
        <v>44823</v>
      </c>
      <c r="P1023" s="8">
        <f t="shared" si="24"/>
        <v>44805</v>
      </c>
    </row>
    <row r="1024" spans="1:16" x14ac:dyDescent="0.25">
      <c r="A1024" s="25"/>
      <c r="N1024">
        <v>3</v>
      </c>
      <c r="O1024" s="8">
        <v>44824</v>
      </c>
      <c r="P1024" s="8">
        <f t="shared" si="24"/>
        <v>44805</v>
      </c>
    </row>
    <row r="1025" spans="1:16" x14ac:dyDescent="0.25">
      <c r="A1025" s="25"/>
      <c r="N1025">
        <v>3</v>
      </c>
      <c r="O1025" s="8">
        <v>44825</v>
      </c>
      <c r="P1025" s="8">
        <f t="shared" si="24"/>
        <v>44805</v>
      </c>
    </row>
    <row r="1026" spans="1:16" x14ac:dyDescent="0.25">
      <c r="A1026" s="25"/>
      <c r="N1026">
        <v>3</v>
      </c>
      <c r="O1026" s="8">
        <v>44826</v>
      </c>
      <c r="P1026" s="8">
        <f t="shared" si="24"/>
        <v>44805</v>
      </c>
    </row>
    <row r="1027" spans="1:16" x14ac:dyDescent="0.25">
      <c r="A1027" s="25"/>
      <c r="N1027">
        <v>3</v>
      </c>
      <c r="O1027" s="8">
        <v>44827</v>
      </c>
      <c r="P1027" s="8">
        <f t="shared" ref="P1027:P1090" si="25">DATE(YEAR(O1027),MONTH(O1027),1)</f>
        <v>44805</v>
      </c>
    </row>
    <row r="1028" spans="1:16" x14ac:dyDescent="0.25">
      <c r="A1028" s="25"/>
      <c r="N1028">
        <v>3</v>
      </c>
      <c r="O1028" s="8">
        <v>44861</v>
      </c>
      <c r="P1028" s="8">
        <f t="shared" si="25"/>
        <v>44835</v>
      </c>
    </row>
    <row r="1029" spans="1:16" x14ac:dyDescent="0.25">
      <c r="A1029" s="25"/>
      <c r="N1029">
        <v>3</v>
      </c>
      <c r="O1029" s="8">
        <v>44862</v>
      </c>
      <c r="P1029" s="8">
        <f t="shared" si="25"/>
        <v>44835</v>
      </c>
    </row>
    <row r="1030" spans="1:16" x14ac:dyDescent="0.25">
      <c r="A1030" s="25"/>
      <c r="N1030">
        <v>3</v>
      </c>
      <c r="O1030" s="8">
        <v>44863</v>
      </c>
      <c r="P1030" s="8">
        <f t="shared" si="25"/>
        <v>44835</v>
      </c>
    </row>
    <row r="1031" spans="1:16" x14ac:dyDescent="0.25">
      <c r="A1031" s="25"/>
      <c r="N1031">
        <v>3</v>
      </c>
      <c r="O1031" s="8">
        <v>44864</v>
      </c>
      <c r="P1031" s="8">
        <f t="shared" si="25"/>
        <v>44835</v>
      </c>
    </row>
    <row r="1032" spans="1:16" x14ac:dyDescent="0.25">
      <c r="A1032" s="25"/>
      <c r="N1032">
        <v>3</v>
      </c>
      <c r="O1032" s="8">
        <v>44865</v>
      </c>
      <c r="P1032" s="8">
        <f t="shared" si="25"/>
        <v>44835</v>
      </c>
    </row>
    <row r="1033" spans="1:16" x14ac:dyDescent="0.25">
      <c r="A1033" s="25"/>
      <c r="N1033">
        <v>3</v>
      </c>
      <c r="O1033" s="8">
        <v>44866</v>
      </c>
      <c r="P1033" s="8">
        <f t="shared" si="25"/>
        <v>44866</v>
      </c>
    </row>
    <row r="1034" spans="1:16" x14ac:dyDescent="0.25">
      <c r="A1034" s="25"/>
      <c r="N1034">
        <v>3</v>
      </c>
      <c r="O1034" s="8">
        <v>44867</v>
      </c>
      <c r="P1034" s="8">
        <f t="shared" si="25"/>
        <v>44866</v>
      </c>
    </row>
    <row r="1035" spans="1:16" x14ac:dyDescent="0.25">
      <c r="A1035" s="25"/>
      <c r="N1035">
        <v>3</v>
      </c>
      <c r="O1035" s="8">
        <v>44868</v>
      </c>
      <c r="P1035" s="8">
        <f t="shared" si="25"/>
        <v>44866</v>
      </c>
    </row>
    <row r="1036" spans="1:16" x14ac:dyDescent="0.25">
      <c r="A1036" s="25"/>
      <c r="N1036">
        <v>3</v>
      </c>
      <c r="O1036" s="8">
        <v>44869</v>
      </c>
      <c r="P1036" s="8">
        <f t="shared" si="25"/>
        <v>44866</v>
      </c>
    </row>
    <row r="1037" spans="1:16" x14ac:dyDescent="0.25">
      <c r="A1037" s="25"/>
      <c r="N1037">
        <v>3</v>
      </c>
      <c r="O1037" s="8">
        <v>44870</v>
      </c>
      <c r="P1037" s="8">
        <f t="shared" si="25"/>
        <v>44866</v>
      </c>
    </row>
    <row r="1038" spans="1:16" x14ac:dyDescent="0.25">
      <c r="A1038" s="25"/>
      <c r="N1038">
        <v>3</v>
      </c>
      <c r="O1038" s="8">
        <v>44871</v>
      </c>
      <c r="P1038" s="8">
        <f t="shared" si="25"/>
        <v>44866</v>
      </c>
    </row>
    <row r="1039" spans="1:16" x14ac:dyDescent="0.25">
      <c r="A1039" s="25"/>
      <c r="N1039">
        <v>3</v>
      </c>
      <c r="O1039" s="8">
        <v>44872</v>
      </c>
      <c r="P1039" s="8">
        <f t="shared" si="25"/>
        <v>44866</v>
      </c>
    </row>
    <row r="1040" spans="1:16" x14ac:dyDescent="0.25">
      <c r="A1040" s="25"/>
      <c r="N1040">
        <v>3</v>
      </c>
      <c r="O1040" s="8">
        <v>44876</v>
      </c>
      <c r="P1040" s="8">
        <f t="shared" si="25"/>
        <v>44866</v>
      </c>
    </row>
    <row r="1041" spans="1:16" x14ac:dyDescent="0.25">
      <c r="A1041" s="25"/>
      <c r="N1041">
        <v>3</v>
      </c>
      <c r="O1041" s="8">
        <v>44877</v>
      </c>
      <c r="P1041" s="8">
        <f t="shared" si="25"/>
        <v>44866</v>
      </c>
    </row>
    <row r="1042" spans="1:16" x14ac:dyDescent="0.25">
      <c r="A1042" s="25"/>
      <c r="N1042">
        <v>3</v>
      </c>
      <c r="O1042" s="8">
        <v>44878</v>
      </c>
      <c r="P1042" s="8">
        <f t="shared" si="25"/>
        <v>44866</v>
      </c>
    </row>
    <row r="1043" spans="1:16" x14ac:dyDescent="0.25">
      <c r="A1043" s="25"/>
      <c r="N1043">
        <v>3</v>
      </c>
      <c r="O1043" s="8">
        <v>44879</v>
      </c>
      <c r="P1043" s="8">
        <f t="shared" si="25"/>
        <v>44866</v>
      </c>
    </row>
    <row r="1044" spans="1:16" x14ac:dyDescent="0.25">
      <c r="A1044" s="25"/>
      <c r="N1044">
        <v>3</v>
      </c>
      <c r="O1044" s="8">
        <v>44880</v>
      </c>
      <c r="P1044" s="8">
        <f t="shared" si="25"/>
        <v>44866</v>
      </c>
    </row>
    <row r="1045" spans="1:16" x14ac:dyDescent="0.25">
      <c r="A1045" s="25"/>
      <c r="N1045">
        <v>3</v>
      </c>
      <c r="O1045" s="8">
        <v>44881</v>
      </c>
      <c r="P1045" s="8">
        <f t="shared" si="25"/>
        <v>44866</v>
      </c>
    </row>
    <row r="1046" spans="1:16" x14ac:dyDescent="0.25">
      <c r="A1046" s="25"/>
      <c r="N1046">
        <v>3</v>
      </c>
      <c r="O1046" s="8">
        <v>44882</v>
      </c>
      <c r="P1046" s="8">
        <f t="shared" si="25"/>
        <v>44866</v>
      </c>
    </row>
    <row r="1047" spans="1:16" x14ac:dyDescent="0.25">
      <c r="A1047" s="25"/>
      <c r="N1047">
        <v>3</v>
      </c>
      <c r="O1047" s="8">
        <v>44883</v>
      </c>
      <c r="P1047" s="8">
        <f t="shared" si="25"/>
        <v>44866</v>
      </c>
    </row>
    <row r="1048" spans="1:16" x14ac:dyDescent="0.25">
      <c r="A1048" s="25"/>
      <c r="N1048">
        <v>3</v>
      </c>
      <c r="O1048" s="8">
        <v>44894</v>
      </c>
      <c r="P1048" s="8">
        <f t="shared" si="25"/>
        <v>44866</v>
      </c>
    </row>
    <row r="1049" spans="1:16" x14ac:dyDescent="0.25">
      <c r="A1049" s="25"/>
      <c r="N1049">
        <v>3</v>
      </c>
      <c r="O1049" s="8">
        <v>44895</v>
      </c>
      <c r="P1049" s="8">
        <f t="shared" si="25"/>
        <v>44866</v>
      </c>
    </row>
    <row r="1050" spans="1:16" x14ac:dyDescent="0.25">
      <c r="A1050" s="25"/>
      <c r="N1050">
        <v>3</v>
      </c>
      <c r="O1050" s="8">
        <v>44903</v>
      </c>
      <c r="P1050" s="8">
        <f t="shared" si="25"/>
        <v>44896</v>
      </c>
    </row>
    <row r="1051" spans="1:16" x14ac:dyDescent="0.25">
      <c r="A1051" s="25"/>
      <c r="N1051">
        <v>3</v>
      </c>
      <c r="O1051" s="8">
        <v>44906</v>
      </c>
      <c r="P1051" s="8">
        <f t="shared" si="25"/>
        <v>44896</v>
      </c>
    </row>
    <row r="1052" spans="1:16" x14ac:dyDescent="0.25">
      <c r="A1052" s="25"/>
      <c r="N1052">
        <v>3</v>
      </c>
      <c r="O1052" s="8">
        <v>44907</v>
      </c>
      <c r="P1052" s="8">
        <f t="shared" si="25"/>
        <v>44896</v>
      </c>
    </row>
    <row r="1053" spans="1:16" x14ac:dyDescent="0.25">
      <c r="A1053" s="25"/>
      <c r="N1053">
        <v>3</v>
      </c>
      <c r="O1053" s="8">
        <v>44908</v>
      </c>
      <c r="P1053" s="8">
        <f t="shared" si="25"/>
        <v>44896</v>
      </c>
    </row>
    <row r="1054" spans="1:16" x14ac:dyDescent="0.25">
      <c r="A1054" s="25"/>
      <c r="N1054">
        <v>3</v>
      </c>
      <c r="O1054" s="8">
        <v>44909</v>
      </c>
      <c r="P1054" s="8">
        <f t="shared" si="25"/>
        <v>44896</v>
      </c>
    </row>
    <row r="1055" spans="1:16" x14ac:dyDescent="0.25">
      <c r="A1055" s="25"/>
      <c r="N1055">
        <v>3</v>
      </c>
      <c r="O1055" s="8">
        <v>44910</v>
      </c>
      <c r="P1055" s="8">
        <f t="shared" si="25"/>
        <v>44896</v>
      </c>
    </row>
    <row r="1056" spans="1:16" x14ac:dyDescent="0.25">
      <c r="A1056" s="25"/>
      <c r="N1056">
        <v>3</v>
      </c>
      <c r="O1056" s="8">
        <v>44911</v>
      </c>
      <c r="P1056" s="8">
        <f t="shared" si="25"/>
        <v>44896</v>
      </c>
    </row>
    <row r="1057" spans="1:16" x14ac:dyDescent="0.25">
      <c r="A1057" s="25"/>
      <c r="N1057">
        <v>3</v>
      </c>
      <c r="O1057" s="8">
        <v>44912</v>
      </c>
      <c r="P1057" s="8">
        <f t="shared" si="25"/>
        <v>44896</v>
      </c>
    </row>
    <row r="1058" spans="1:16" x14ac:dyDescent="0.25">
      <c r="A1058" s="25"/>
      <c r="N1058">
        <v>3</v>
      </c>
      <c r="O1058" s="8">
        <v>44913</v>
      </c>
      <c r="P1058" s="8">
        <f t="shared" si="25"/>
        <v>44896</v>
      </c>
    </row>
    <row r="1059" spans="1:16" x14ac:dyDescent="0.25">
      <c r="A1059" s="25"/>
      <c r="N1059">
        <v>3</v>
      </c>
      <c r="O1059" s="8">
        <v>44944</v>
      </c>
      <c r="P1059" s="8">
        <f t="shared" si="25"/>
        <v>44927</v>
      </c>
    </row>
    <row r="1060" spans="1:16" x14ac:dyDescent="0.25">
      <c r="A1060" s="25"/>
      <c r="N1060">
        <v>3</v>
      </c>
      <c r="O1060" s="8">
        <v>44954</v>
      </c>
      <c r="P1060" s="8">
        <f t="shared" si="25"/>
        <v>44927</v>
      </c>
    </row>
    <row r="1061" spans="1:16" x14ac:dyDescent="0.25">
      <c r="A1061" s="25"/>
      <c r="N1061">
        <v>3</v>
      </c>
      <c r="O1061" s="8">
        <v>44749</v>
      </c>
      <c r="P1061" s="8">
        <f t="shared" si="25"/>
        <v>44743</v>
      </c>
    </row>
    <row r="1062" spans="1:16" x14ac:dyDescent="0.25">
      <c r="A1062" s="25"/>
      <c r="N1062">
        <v>3</v>
      </c>
      <c r="O1062" s="8">
        <v>44751</v>
      </c>
      <c r="P1062" s="8">
        <f t="shared" si="25"/>
        <v>44743</v>
      </c>
    </row>
    <row r="1063" spans="1:16" x14ac:dyDescent="0.25">
      <c r="A1063" s="25"/>
      <c r="N1063">
        <v>3</v>
      </c>
      <c r="O1063" s="8">
        <v>44754</v>
      </c>
      <c r="P1063" s="8">
        <f t="shared" si="25"/>
        <v>44743</v>
      </c>
    </row>
    <row r="1064" spans="1:16" x14ac:dyDescent="0.25">
      <c r="A1064" s="25"/>
      <c r="N1064">
        <v>3</v>
      </c>
      <c r="O1064" s="8">
        <v>44756</v>
      </c>
      <c r="P1064" s="8">
        <f t="shared" si="25"/>
        <v>44743</v>
      </c>
    </row>
    <row r="1065" spans="1:16" x14ac:dyDescent="0.25">
      <c r="A1065" s="25"/>
      <c r="N1065">
        <v>3</v>
      </c>
      <c r="O1065" s="8">
        <v>44774</v>
      </c>
      <c r="P1065" s="8">
        <f t="shared" si="25"/>
        <v>44774</v>
      </c>
    </row>
    <row r="1066" spans="1:16" x14ac:dyDescent="0.25">
      <c r="A1066" s="25"/>
      <c r="N1066">
        <v>3</v>
      </c>
      <c r="O1066" s="8">
        <v>44775</v>
      </c>
      <c r="P1066" s="8">
        <f t="shared" si="25"/>
        <v>44774</v>
      </c>
    </row>
    <row r="1067" spans="1:16" x14ac:dyDescent="0.25">
      <c r="A1067" s="25"/>
      <c r="N1067">
        <v>3</v>
      </c>
      <c r="O1067" s="8">
        <v>44776</v>
      </c>
      <c r="P1067" s="8">
        <f t="shared" si="25"/>
        <v>44774</v>
      </c>
    </row>
    <row r="1068" spans="1:16" x14ac:dyDescent="0.25">
      <c r="A1068" s="25"/>
      <c r="N1068">
        <v>3</v>
      </c>
      <c r="O1068" s="8">
        <v>44777</v>
      </c>
      <c r="P1068" s="8">
        <f t="shared" si="25"/>
        <v>44774</v>
      </c>
    </row>
    <row r="1069" spans="1:16" x14ac:dyDescent="0.25">
      <c r="A1069" s="25"/>
      <c r="N1069">
        <v>3</v>
      </c>
      <c r="O1069" s="8">
        <v>44782</v>
      </c>
      <c r="P1069" s="8">
        <f t="shared" si="25"/>
        <v>44774</v>
      </c>
    </row>
    <row r="1070" spans="1:16" x14ac:dyDescent="0.25">
      <c r="A1070" s="25"/>
      <c r="N1070">
        <v>3</v>
      </c>
      <c r="O1070" s="8">
        <v>44783</v>
      </c>
      <c r="P1070" s="8">
        <f t="shared" si="25"/>
        <v>44774</v>
      </c>
    </row>
    <row r="1071" spans="1:16" x14ac:dyDescent="0.25">
      <c r="A1071" s="25"/>
      <c r="N1071">
        <v>3</v>
      </c>
      <c r="O1071" s="8">
        <v>44784</v>
      </c>
      <c r="P1071" s="8">
        <f t="shared" si="25"/>
        <v>44774</v>
      </c>
    </row>
    <row r="1072" spans="1:16" x14ac:dyDescent="0.25">
      <c r="A1072" s="25"/>
      <c r="N1072">
        <v>3</v>
      </c>
      <c r="O1072" s="8">
        <v>44785</v>
      </c>
      <c r="P1072" s="8">
        <f t="shared" si="25"/>
        <v>44774</v>
      </c>
    </row>
    <row r="1073" spans="1:16" x14ac:dyDescent="0.25">
      <c r="A1073" s="25"/>
      <c r="N1073">
        <v>3</v>
      </c>
      <c r="O1073" s="8">
        <v>44786</v>
      </c>
      <c r="P1073" s="8">
        <f t="shared" si="25"/>
        <v>44774</v>
      </c>
    </row>
    <row r="1074" spans="1:16" x14ac:dyDescent="0.25">
      <c r="A1074" s="25"/>
      <c r="N1074">
        <v>3</v>
      </c>
      <c r="O1074" s="8">
        <v>44792</v>
      </c>
      <c r="P1074" s="8">
        <f t="shared" si="25"/>
        <v>44774</v>
      </c>
    </row>
    <row r="1075" spans="1:16" x14ac:dyDescent="0.25">
      <c r="A1075" s="25"/>
      <c r="N1075">
        <v>3</v>
      </c>
      <c r="O1075" s="8">
        <v>44798</v>
      </c>
      <c r="P1075" s="8">
        <f t="shared" si="25"/>
        <v>44774</v>
      </c>
    </row>
    <row r="1076" spans="1:16" x14ac:dyDescent="0.25">
      <c r="A1076" s="25"/>
      <c r="N1076">
        <v>3</v>
      </c>
      <c r="O1076" s="8">
        <v>44799</v>
      </c>
      <c r="P1076" s="8">
        <f t="shared" si="25"/>
        <v>44774</v>
      </c>
    </row>
    <row r="1077" spans="1:16" x14ac:dyDescent="0.25">
      <c r="A1077" s="25"/>
      <c r="N1077">
        <v>3</v>
      </c>
      <c r="O1077" s="8">
        <v>44832</v>
      </c>
      <c r="P1077" s="8">
        <f t="shared" si="25"/>
        <v>44805</v>
      </c>
    </row>
    <row r="1078" spans="1:16" x14ac:dyDescent="0.25">
      <c r="A1078" s="25"/>
      <c r="N1078">
        <v>3</v>
      </c>
      <c r="O1078" s="8">
        <v>44838</v>
      </c>
      <c r="P1078" s="8">
        <f t="shared" si="25"/>
        <v>44835</v>
      </c>
    </row>
    <row r="1079" spans="1:16" x14ac:dyDescent="0.25">
      <c r="A1079" s="25"/>
      <c r="N1079">
        <v>3</v>
      </c>
      <c r="O1079" s="8">
        <v>44839</v>
      </c>
      <c r="P1079" s="8">
        <f t="shared" si="25"/>
        <v>44835</v>
      </c>
    </row>
    <row r="1080" spans="1:16" x14ac:dyDescent="0.25">
      <c r="A1080" s="25"/>
      <c r="N1080">
        <v>3</v>
      </c>
      <c r="O1080" s="8">
        <v>44884</v>
      </c>
      <c r="P1080" s="8">
        <f t="shared" si="25"/>
        <v>44866</v>
      </c>
    </row>
    <row r="1081" spans="1:16" x14ac:dyDescent="0.25">
      <c r="A1081" s="25"/>
      <c r="N1081">
        <v>3</v>
      </c>
      <c r="O1081" s="8">
        <v>44885</v>
      </c>
      <c r="P1081" s="8">
        <f t="shared" si="25"/>
        <v>44866</v>
      </c>
    </row>
    <row r="1082" spans="1:16" x14ac:dyDescent="0.25">
      <c r="A1082" s="25"/>
      <c r="N1082">
        <v>3</v>
      </c>
      <c r="O1082" s="8">
        <v>44886</v>
      </c>
      <c r="P1082" s="8">
        <f t="shared" si="25"/>
        <v>44866</v>
      </c>
    </row>
    <row r="1083" spans="1:16" x14ac:dyDescent="0.25">
      <c r="A1083" s="25"/>
      <c r="N1083">
        <v>3</v>
      </c>
      <c r="O1083" s="8">
        <v>44932</v>
      </c>
      <c r="P1083" s="8">
        <f t="shared" si="25"/>
        <v>44927</v>
      </c>
    </row>
    <row r="1084" spans="1:16" x14ac:dyDescent="0.25">
      <c r="A1084" s="25"/>
      <c r="N1084">
        <v>3</v>
      </c>
      <c r="O1084" s="8">
        <v>44860</v>
      </c>
      <c r="P1084" s="8">
        <f t="shared" si="25"/>
        <v>44835</v>
      </c>
    </row>
    <row r="1085" spans="1:16" x14ac:dyDescent="0.25">
      <c r="A1085" s="25"/>
      <c r="N1085">
        <v>3</v>
      </c>
      <c r="O1085" s="8">
        <v>44943</v>
      </c>
      <c r="P1085" s="8">
        <f t="shared" si="25"/>
        <v>44927</v>
      </c>
    </row>
    <row r="1086" spans="1:16" x14ac:dyDescent="0.25">
      <c r="A1086" s="25"/>
      <c r="N1086">
        <v>3</v>
      </c>
      <c r="O1086" s="8">
        <v>44803</v>
      </c>
      <c r="P1086" s="8">
        <f t="shared" si="25"/>
        <v>44774</v>
      </c>
    </row>
    <row r="1087" spans="1:16" x14ac:dyDescent="0.25">
      <c r="A1087" s="25"/>
      <c r="N1087">
        <v>3</v>
      </c>
      <c r="O1087" s="8">
        <v>44842</v>
      </c>
      <c r="P1087" s="8">
        <f t="shared" si="25"/>
        <v>44835</v>
      </c>
    </row>
    <row r="1088" spans="1:16" x14ac:dyDescent="0.25">
      <c r="A1088" s="25"/>
      <c r="N1088">
        <v>3</v>
      </c>
      <c r="O1088" s="8">
        <v>44846</v>
      </c>
      <c r="P1088" s="8">
        <f t="shared" si="25"/>
        <v>44835</v>
      </c>
    </row>
    <row r="1089" spans="1:16" x14ac:dyDescent="0.25">
      <c r="A1089" s="25"/>
      <c r="N1089">
        <v>3</v>
      </c>
      <c r="O1089" s="8">
        <v>44847</v>
      </c>
      <c r="P1089" s="8">
        <f t="shared" si="25"/>
        <v>44835</v>
      </c>
    </row>
    <row r="1090" spans="1:16" x14ac:dyDescent="0.25">
      <c r="A1090" s="25"/>
      <c r="N1090">
        <v>3</v>
      </c>
      <c r="O1090" s="8">
        <v>44849</v>
      </c>
      <c r="P1090" s="8">
        <f t="shared" si="25"/>
        <v>44835</v>
      </c>
    </row>
    <row r="1091" spans="1:16" x14ac:dyDescent="0.25">
      <c r="A1091" s="25"/>
      <c r="N1091">
        <v>3</v>
      </c>
      <c r="O1091" s="8">
        <v>44850</v>
      </c>
      <c r="P1091" s="8">
        <f t="shared" ref="P1091:P1154" si="26">DATE(YEAR(O1091),MONTH(O1091),1)</f>
        <v>44835</v>
      </c>
    </row>
    <row r="1092" spans="1:16" x14ac:dyDescent="0.25">
      <c r="A1092" s="25"/>
      <c r="N1092">
        <v>3</v>
      </c>
      <c r="O1092" s="8">
        <v>44851</v>
      </c>
      <c r="P1092" s="8">
        <f t="shared" si="26"/>
        <v>44835</v>
      </c>
    </row>
    <row r="1093" spans="1:16" x14ac:dyDescent="0.25">
      <c r="A1093" s="25"/>
      <c r="N1093">
        <v>3</v>
      </c>
      <c r="O1093" s="8">
        <v>44852</v>
      </c>
      <c r="P1093" s="8">
        <f t="shared" si="26"/>
        <v>44835</v>
      </c>
    </row>
    <row r="1094" spans="1:16" x14ac:dyDescent="0.25">
      <c r="A1094" s="25"/>
      <c r="N1094">
        <v>3</v>
      </c>
      <c r="O1094" s="8">
        <v>44853</v>
      </c>
      <c r="P1094" s="8">
        <f t="shared" si="26"/>
        <v>44835</v>
      </c>
    </row>
    <row r="1095" spans="1:16" x14ac:dyDescent="0.25">
      <c r="A1095" s="25"/>
      <c r="N1095">
        <v>3</v>
      </c>
      <c r="O1095" s="8">
        <v>44854</v>
      </c>
      <c r="P1095" s="8">
        <f t="shared" si="26"/>
        <v>44835</v>
      </c>
    </row>
    <row r="1096" spans="1:16" x14ac:dyDescent="0.25">
      <c r="A1096" s="25"/>
      <c r="N1096">
        <v>3</v>
      </c>
      <c r="O1096" s="8">
        <v>44855</v>
      </c>
      <c r="P1096" s="8">
        <f t="shared" si="26"/>
        <v>44835</v>
      </c>
    </row>
    <row r="1097" spans="1:16" x14ac:dyDescent="0.25">
      <c r="A1097" s="25"/>
      <c r="N1097">
        <v>3</v>
      </c>
      <c r="O1097" s="8">
        <v>44856</v>
      </c>
      <c r="P1097" s="8">
        <f t="shared" si="26"/>
        <v>44835</v>
      </c>
    </row>
    <row r="1098" spans="1:16" x14ac:dyDescent="0.25">
      <c r="A1098" s="25"/>
      <c r="N1098">
        <v>3</v>
      </c>
      <c r="O1098" s="8">
        <v>44857</v>
      </c>
      <c r="P1098" s="8">
        <f t="shared" si="26"/>
        <v>44835</v>
      </c>
    </row>
    <row r="1099" spans="1:16" x14ac:dyDescent="0.25">
      <c r="A1099" s="25"/>
      <c r="N1099">
        <v>3</v>
      </c>
      <c r="O1099" s="8">
        <v>44858</v>
      </c>
      <c r="P1099" s="8">
        <f t="shared" si="26"/>
        <v>44835</v>
      </c>
    </row>
    <row r="1100" spans="1:16" x14ac:dyDescent="0.25">
      <c r="A1100" s="25"/>
      <c r="N1100">
        <v>3</v>
      </c>
      <c r="O1100" s="8">
        <v>44859</v>
      </c>
      <c r="P1100" s="8">
        <f t="shared" si="26"/>
        <v>44835</v>
      </c>
    </row>
    <row r="1101" spans="1:16" x14ac:dyDescent="0.25">
      <c r="A1101" s="25"/>
      <c r="N1101">
        <v>3</v>
      </c>
      <c r="O1101" s="8">
        <v>44892</v>
      </c>
      <c r="P1101" s="8">
        <f t="shared" si="26"/>
        <v>44866</v>
      </c>
    </row>
    <row r="1102" spans="1:16" x14ac:dyDescent="0.25">
      <c r="A1102" s="25"/>
      <c r="N1102">
        <v>3</v>
      </c>
      <c r="O1102" s="8">
        <v>44893</v>
      </c>
      <c r="P1102" s="8">
        <f t="shared" si="26"/>
        <v>44866</v>
      </c>
    </row>
    <row r="1103" spans="1:16" x14ac:dyDescent="0.25">
      <c r="A1103" s="25"/>
      <c r="N1103">
        <v>3</v>
      </c>
      <c r="O1103" s="8">
        <v>44896</v>
      </c>
      <c r="P1103" s="8">
        <f t="shared" si="26"/>
        <v>44896</v>
      </c>
    </row>
    <row r="1104" spans="1:16" x14ac:dyDescent="0.25">
      <c r="A1104" s="25"/>
      <c r="N1104">
        <v>3</v>
      </c>
      <c r="O1104" s="8">
        <v>44897</v>
      </c>
      <c r="P1104" s="8">
        <f t="shared" si="26"/>
        <v>44896</v>
      </c>
    </row>
    <row r="1105" spans="1:16" x14ac:dyDescent="0.25">
      <c r="A1105" s="25"/>
      <c r="N1105">
        <v>3</v>
      </c>
      <c r="O1105" s="8">
        <v>44899</v>
      </c>
      <c r="P1105" s="8">
        <f t="shared" si="26"/>
        <v>44896</v>
      </c>
    </row>
    <row r="1106" spans="1:16" x14ac:dyDescent="0.25">
      <c r="A1106" s="25"/>
      <c r="N1106">
        <v>3</v>
      </c>
      <c r="O1106" s="8">
        <v>44797</v>
      </c>
      <c r="P1106" s="8">
        <f t="shared" si="26"/>
        <v>44774</v>
      </c>
    </row>
    <row r="1107" spans="1:16" x14ac:dyDescent="0.25">
      <c r="A1107" s="25"/>
      <c r="N1107">
        <v>3</v>
      </c>
      <c r="O1107" s="8">
        <v>44800</v>
      </c>
      <c r="P1107" s="8">
        <f t="shared" si="26"/>
        <v>44774</v>
      </c>
    </row>
    <row r="1108" spans="1:16" x14ac:dyDescent="0.25">
      <c r="A1108" s="25"/>
      <c r="N1108">
        <v>3</v>
      </c>
      <c r="O1108" s="8">
        <v>44833</v>
      </c>
      <c r="P1108" s="8">
        <f t="shared" si="26"/>
        <v>44805</v>
      </c>
    </row>
    <row r="1109" spans="1:16" x14ac:dyDescent="0.25">
      <c r="A1109" s="25"/>
      <c r="N1109">
        <v>3</v>
      </c>
      <c r="O1109" s="8">
        <v>44834</v>
      </c>
      <c r="P1109" s="8">
        <f t="shared" si="26"/>
        <v>44805</v>
      </c>
    </row>
    <row r="1110" spans="1:16" x14ac:dyDescent="0.25">
      <c r="A1110" s="25"/>
      <c r="N1110">
        <v>3</v>
      </c>
      <c r="O1110" s="8">
        <v>44835</v>
      </c>
      <c r="P1110" s="8">
        <f t="shared" si="26"/>
        <v>44835</v>
      </c>
    </row>
    <row r="1111" spans="1:16" x14ac:dyDescent="0.25">
      <c r="A1111" s="25"/>
      <c r="N1111">
        <v>3</v>
      </c>
      <c r="O1111" s="8">
        <v>44837</v>
      </c>
      <c r="P1111" s="8">
        <f t="shared" si="26"/>
        <v>44835</v>
      </c>
    </row>
    <row r="1112" spans="1:16" x14ac:dyDescent="0.25">
      <c r="A1112" s="25"/>
      <c r="N1112">
        <v>3</v>
      </c>
      <c r="O1112" s="8">
        <v>44841</v>
      </c>
      <c r="P1112" s="8">
        <f t="shared" si="26"/>
        <v>44835</v>
      </c>
    </row>
    <row r="1113" spans="1:16" x14ac:dyDescent="0.25">
      <c r="A1113" s="25"/>
      <c r="N1113">
        <v>3</v>
      </c>
      <c r="O1113" s="8">
        <v>44873</v>
      </c>
      <c r="P1113" s="8">
        <f t="shared" si="26"/>
        <v>44866</v>
      </c>
    </row>
    <row r="1114" spans="1:16" x14ac:dyDescent="0.25">
      <c r="A1114" s="25"/>
      <c r="N1114">
        <v>3</v>
      </c>
      <c r="O1114" s="8">
        <v>44874</v>
      </c>
      <c r="P1114" s="8">
        <f t="shared" si="26"/>
        <v>44866</v>
      </c>
    </row>
    <row r="1115" spans="1:16" x14ac:dyDescent="0.25">
      <c r="A1115" s="25"/>
      <c r="N1115">
        <v>3</v>
      </c>
      <c r="O1115" s="8">
        <v>44875</v>
      </c>
      <c r="P1115" s="8">
        <f t="shared" si="26"/>
        <v>44866</v>
      </c>
    </row>
    <row r="1116" spans="1:16" x14ac:dyDescent="0.25">
      <c r="A1116" s="25"/>
      <c r="N1116">
        <v>3</v>
      </c>
      <c r="O1116" s="8">
        <v>44890</v>
      </c>
      <c r="P1116" s="8">
        <f t="shared" si="26"/>
        <v>44866</v>
      </c>
    </row>
    <row r="1117" spans="1:16" x14ac:dyDescent="0.25">
      <c r="A1117" s="25"/>
      <c r="N1117">
        <v>3</v>
      </c>
      <c r="O1117" s="8">
        <v>44900</v>
      </c>
      <c r="P1117" s="8">
        <f t="shared" si="26"/>
        <v>44896</v>
      </c>
    </row>
    <row r="1118" spans="1:16" x14ac:dyDescent="0.25">
      <c r="A1118" s="25"/>
      <c r="N1118">
        <v>3</v>
      </c>
      <c r="O1118" s="8">
        <v>44840</v>
      </c>
      <c r="P1118" s="8">
        <f t="shared" si="26"/>
        <v>44835</v>
      </c>
    </row>
    <row r="1119" spans="1:16" x14ac:dyDescent="0.25">
      <c r="A1119" s="25"/>
      <c r="N1119">
        <v>1</v>
      </c>
      <c r="O1119" s="8">
        <v>45147</v>
      </c>
      <c r="P1119" s="8">
        <f t="shared" si="26"/>
        <v>45139</v>
      </c>
    </row>
    <row r="1120" spans="1:16" x14ac:dyDescent="0.25">
      <c r="A1120" s="25"/>
      <c r="N1120">
        <v>1</v>
      </c>
      <c r="O1120" s="8">
        <v>45148</v>
      </c>
      <c r="P1120" s="8">
        <f t="shared" si="26"/>
        <v>45139</v>
      </c>
    </row>
    <row r="1121" spans="1:16" x14ac:dyDescent="0.25">
      <c r="A1121" s="25"/>
      <c r="N1121">
        <v>1</v>
      </c>
      <c r="O1121" s="8">
        <v>45149</v>
      </c>
      <c r="P1121" s="8">
        <f t="shared" si="26"/>
        <v>45139</v>
      </c>
    </row>
    <row r="1122" spans="1:16" x14ac:dyDescent="0.25">
      <c r="A1122" s="25"/>
      <c r="N1122">
        <v>1</v>
      </c>
      <c r="O1122" s="8">
        <v>45151</v>
      </c>
      <c r="P1122" s="8">
        <f t="shared" si="26"/>
        <v>45139</v>
      </c>
    </row>
    <row r="1123" spans="1:16" x14ac:dyDescent="0.25">
      <c r="A1123" s="25"/>
      <c r="N1123">
        <v>1</v>
      </c>
      <c r="O1123" s="8">
        <v>45152</v>
      </c>
      <c r="P1123" s="8">
        <f t="shared" si="26"/>
        <v>45139</v>
      </c>
    </row>
    <row r="1124" spans="1:16" x14ac:dyDescent="0.25">
      <c r="A1124" s="25"/>
      <c r="N1124">
        <v>1</v>
      </c>
      <c r="O1124" s="8">
        <v>45153</v>
      </c>
      <c r="P1124" s="8">
        <f t="shared" si="26"/>
        <v>45139</v>
      </c>
    </row>
    <row r="1125" spans="1:16" x14ac:dyDescent="0.25">
      <c r="A1125" s="25"/>
      <c r="N1125">
        <v>1</v>
      </c>
      <c r="O1125" s="8">
        <v>45154</v>
      </c>
      <c r="P1125" s="8">
        <f t="shared" si="26"/>
        <v>45139</v>
      </c>
    </row>
    <row r="1126" spans="1:16" x14ac:dyDescent="0.25">
      <c r="A1126" s="25"/>
      <c r="N1126">
        <v>1</v>
      </c>
      <c r="O1126" s="8">
        <v>45155</v>
      </c>
      <c r="P1126" s="8">
        <f t="shared" si="26"/>
        <v>45139</v>
      </c>
    </row>
    <row r="1127" spans="1:16" x14ac:dyDescent="0.25">
      <c r="A1127" s="25"/>
      <c r="N1127">
        <v>1</v>
      </c>
      <c r="O1127" s="8">
        <v>45156</v>
      </c>
      <c r="P1127" s="8">
        <f t="shared" si="26"/>
        <v>45139</v>
      </c>
    </row>
    <row r="1128" spans="1:16" x14ac:dyDescent="0.25">
      <c r="A1128" s="25"/>
      <c r="N1128">
        <v>1</v>
      </c>
      <c r="O1128" s="8">
        <v>45123</v>
      </c>
      <c r="P1128" s="8">
        <f t="shared" si="26"/>
        <v>45108</v>
      </c>
    </row>
    <row r="1129" spans="1:16" x14ac:dyDescent="0.25">
      <c r="A1129" s="25"/>
      <c r="N1129">
        <v>1</v>
      </c>
      <c r="O1129" s="8">
        <v>45124</v>
      </c>
      <c r="P1129" s="8">
        <f t="shared" si="26"/>
        <v>45108</v>
      </c>
    </row>
    <row r="1130" spans="1:16" x14ac:dyDescent="0.25">
      <c r="A1130" s="25"/>
      <c r="N1130">
        <v>1</v>
      </c>
      <c r="O1130" s="8">
        <v>45135</v>
      </c>
      <c r="P1130" s="8">
        <f t="shared" si="26"/>
        <v>45108</v>
      </c>
    </row>
    <row r="1131" spans="1:16" x14ac:dyDescent="0.25">
      <c r="A1131" s="25"/>
      <c r="N1131">
        <v>1</v>
      </c>
      <c r="O1131" s="8">
        <v>45136</v>
      </c>
      <c r="P1131" s="8">
        <f t="shared" si="26"/>
        <v>45108</v>
      </c>
    </row>
    <row r="1132" spans="1:16" x14ac:dyDescent="0.25">
      <c r="A1132" s="25"/>
      <c r="N1132">
        <v>1</v>
      </c>
      <c r="O1132" s="8">
        <v>45141</v>
      </c>
      <c r="P1132" s="8">
        <f t="shared" si="26"/>
        <v>45139</v>
      </c>
    </row>
    <row r="1133" spans="1:16" x14ac:dyDescent="0.25">
      <c r="A1133" s="25"/>
      <c r="N1133">
        <v>1</v>
      </c>
      <c r="O1133" s="8">
        <v>45142</v>
      </c>
      <c r="P1133" s="8">
        <f t="shared" si="26"/>
        <v>45139</v>
      </c>
    </row>
    <row r="1134" spans="1:16" x14ac:dyDescent="0.25">
      <c r="A1134" s="25"/>
      <c r="N1134">
        <v>1</v>
      </c>
      <c r="O1134" s="8">
        <v>45086</v>
      </c>
      <c r="P1134" s="8">
        <f t="shared" si="26"/>
        <v>45078</v>
      </c>
    </row>
    <row r="1135" spans="1:16" x14ac:dyDescent="0.25">
      <c r="A1135" s="25"/>
      <c r="N1135">
        <v>1</v>
      </c>
      <c r="O1135" s="8">
        <v>45087</v>
      </c>
      <c r="P1135" s="8">
        <f t="shared" si="26"/>
        <v>45078</v>
      </c>
    </row>
    <row r="1136" spans="1:16" x14ac:dyDescent="0.25">
      <c r="A1136" s="25"/>
      <c r="N1136">
        <v>1</v>
      </c>
      <c r="O1136" s="8">
        <v>45088</v>
      </c>
      <c r="P1136" s="8">
        <f t="shared" si="26"/>
        <v>45078</v>
      </c>
    </row>
    <row r="1137" spans="1:16" x14ac:dyDescent="0.25">
      <c r="A1137" s="25"/>
      <c r="N1137">
        <v>1</v>
      </c>
      <c r="O1137" s="8">
        <v>45062</v>
      </c>
      <c r="P1137" s="8">
        <f t="shared" si="26"/>
        <v>45047</v>
      </c>
    </row>
    <row r="1138" spans="1:16" x14ac:dyDescent="0.25">
      <c r="A1138" s="25"/>
      <c r="N1138">
        <v>1</v>
      </c>
      <c r="O1138" s="8">
        <v>45065</v>
      </c>
      <c r="P1138" s="8">
        <f t="shared" si="26"/>
        <v>45047</v>
      </c>
    </row>
    <row r="1139" spans="1:16" x14ac:dyDescent="0.25">
      <c r="A1139" s="25"/>
      <c r="N1139">
        <v>1</v>
      </c>
      <c r="O1139" s="8">
        <v>45066</v>
      </c>
      <c r="P1139" s="8">
        <f t="shared" si="26"/>
        <v>45047</v>
      </c>
    </row>
    <row r="1140" spans="1:16" x14ac:dyDescent="0.25">
      <c r="A1140" s="25"/>
      <c r="N1140">
        <v>1</v>
      </c>
      <c r="O1140" s="8">
        <v>45068</v>
      </c>
      <c r="P1140" s="8">
        <f t="shared" si="26"/>
        <v>45047</v>
      </c>
    </row>
    <row r="1141" spans="1:16" x14ac:dyDescent="0.25">
      <c r="A1141" s="25"/>
      <c r="N1141">
        <v>1</v>
      </c>
      <c r="O1141" s="8">
        <v>45061</v>
      </c>
      <c r="P1141" s="8">
        <f t="shared" si="26"/>
        <v>45047</v>
      </c>
    </row>
    <row r="1142" spans="1:16" x14ac:dyDescent="0.25">
      <c r="A1142" s="25"/>
      <c r="N1142">
        <v>1</v>
      </c>
      <c r="O1142" s="8">
        <v>45137</v>
      </c>
      <c r="P1142" s="8">
        <f t="shared" si="26"/>
        <v>45108</v>
      </c>
    </row>
    <row r="1143" spans="1:16" x14ac:dyDescent="0.25">
      <c r="A1143" s="25"/>
      <c r="N1143">
        <v>1</v>
      </c>
      <c r="O1143" s="8">
        <v>45139</v>
      </c>
      <c r="P1143" s="8">
        <f t="shared" si="26"/>
        <v>45139</v>
      </c>
    </row>
    <row r="1144" spans="1:16" x14ac:dyDescent="0.25">
      <c r="A1144" s="25"/>
      <c r="N1144">
        <v>1</v>
      </c>
      <c r="O1144" s="8">
        <v>45063</v>
      </c>
      <c r="P1144" s="8">
        <f t="shared" si="26"/>
        <v>45047</v>
      </c>
    </row>
    <row r="1145" spans="1:16" x14ac:dyDescent="0.25">
      <c r="A1145" s="25"/>
      <c r="N1145">
        <v>1</v>
      </c>
      <c r="O1145" s="8">
        <v>45064</v>
      </c>
      <c r="P1145" s="8">
        <f t="shared" si="26"/>
        <v>45047</v>
      </c>
    </row>
    <row r="1146" spans="1:16" x14ac:dyDescent="0.25">
      <c r="A1146" s="25"/>
      <c r="N1146">
        <v>1</v>
      </c>
      <c r="O1146" s="8">
        <v>45067</v>
      </c>
      <c r="P1146" s="8">
        <f t="shared" si="26"/>
        <v>45047</v>
      </c>
    </row>
    <row r="1147" spans="1:16" x14ac:dyDescent="0.25">
      <c r="A1147" s="25"/>
      <c r="N1147">
        <v>1</v>
      </c>
      <c r="O1147" s="8">
        <v>45069</v>
      </c>
      <c r="P1147" s="8">
        <f t="shared" si="26"/>
        <v>45047</v>
      </c>
    </row>
    <row r="1148" spans="1:16" x14ac:dyDescent="0.25">
      <c r="A1148" s="25"/>
      <c r="N1148">
        <v>1</v>
      </c>
      <c r="O1148" s="8">
        <v>45070</v>
      </c>
      <c r="P1148" s="8">
        <f t="shared" si="26"/>
        <v>45047</v>
      </c>
    </row>
    <row r="1149" spans="1:16" x14ac:dyDescent="0.25">
      <c r="A1149" s="25"/>
      <c r="N1149">
        <v>1</v>
      </c>
      <c r="O1149" s="8">
        <v>45071</v>
      </c>
      <c r="P1149" s="8">
        <f t="shared" si="26"/>
        <v>45047</v>
      </c>
    </row>
    <row r="1150" spans="1:16" x14ac:dyDescent="0.25">
      <c r="A1150" s="25"/>
      <c r="N1150">
        <v>1</v>
      </c>
      <c r="O1150" s="8">
        <v>45072</v>
      </c>
      <c r="P1150" s="8">
        <f t="shared" si="26"/>
        <v>45047</v>
      </c>
    </row>
    <row r="1151" spans="1:16" x14ac:dyDescent="0.25">
      <c r="A1151" s="25"/>
      <c r="N1151">
        <v>1</v>
      </c>
      <c r="O1151" s="8">
        <v>45082</v>
      </c>
      <c r="P1151" s="8">
        <f t="shared" si="26"/>
        <v>45078</v>
      </c>
    </row>
    <row r="1152" spans="1:16" x14ac:dyDescent="0.25">
      <c r="A1152" s="25"/>
      <c r="N1152">
        <v>1</v>
      </c>
      <c r="O1152" s="8">
        <v>45127</v>
      </c>
      <c r="P1152" s="8">
        <f t="shared" si="26"/>
        <v>45108</v>
      </c>
    </row>
    <row r="1153" spans="1:16" x14ac:dyDescent="0.25">
      <c r="A1153" s="25"/>
      <c r="N1153">
        <v>1</v>
      </c>
      <c r="O1153" s="8">
        <v>45128</v>
      </c>
      <c r="P1153" s="8">
        <f t="shared" si="26"/>
        <v>45108</v>
      </c>
    </row>
    <row r="1154" spans="1:16" x14ac:dyDescent="0.25">
      <c r="A1154" s="25"/>
      <c r="N1154">
        <v>1</v>
      </c>
      <c r="O1154" s="8">
        <v>45129</v>
      </c>
      <c r="P1154" s="8">
        <f t="shared" si="26"/>
        <v>45108</v>
      </c>
    </row>
    <row r="1155" spans="1:16" x14ac:dyDescent="0.25">
      <c r="A1155" s="25"/>
      <c r="N1155">
        <v>1</v>
      </c>
      <c r="O1155" s="8">
        <v>45130</v>
      </c>
      <c r="P1155" s="8">
        <f t="shared" ref="P1155:P1218" si="27">DATE(YEAR(O1155),MONTH(O1155),1)</f>
        <v>45108</v>
      </c>
    </row>
    <row r="1156" spans="1:16" x14ac:dyDescent="0.25">
      <c r="A1156" s="25"/>
      <c r="N1156">
        <v>1</v>
      </c>
      <c r="O1156" s="8">
        <v>45131</v>
      </c>
      <c r="P1156" s="8">
        <f t="shared" si="27"/>
        <v>45108</v>
      </c>
    </row>
    <row r="1157" spans="1:16" x14ac:dyDescent="0.25">
      <c r="A1157" s="25"/>
      <c r="N1157">
        <v>1</v>
      </c>
      <c r="O1157" s="8">
        <v>45132</v>
      </c>
      <c r="P1157" s="8">
        <f t="shared" si="27"/>
        <v>45108</v>
      </c>
    </row>
    <row r="1158" spans="1:16" x14ac:dyDescent="0.25">
      <c r="A1158" s="25"/>
      <c r="N1158">
        <v>1</v>
      </c>
      <c r="O1158" s="8">
        <v>45140</v>
      </c>
      <c r="P1158" s="8">
        <f t="shared" si="27"/>
        <v>45139</v>
      </c>
    </row>
    <row r="1159" spans="1:16" x14ac:dyDescent="0.25">
      <c r="A1159" s="25"/>
      <c r="N1159">
        <v>1</v>
      </c>
      <c r="O1159" s="8">
        <v>45146</v>
      </c>
      <c r="P1159" s="8">
        <f t="shared" si="27"/>
        <v>45139</v>
      </c>
    </row>
    <row r="1160" spans="1:16" x14ac:dyDescent="0.25">
      <c r="A1160" s="25"/>
      <c r="N1160">
        <v>1</v>
      </c>
      <c r="O1160" s="8">
        <v>45197</v>
      </c>
      <c r="P1160" s="8">
        <f t="shared" si="27"/>
        <v>45170</v>
      </c>
    </row>
    <row r="1161" spans="1:16" x14ac:dyDescent="0.25">
      <c r="A1161" s="25"/>
      <c r="N1161">
        <v>1</v>
      </c>
      <c r="O1161" s="8">
        <v>45198</v>
      </c>
      <c r="P1161" s="8">
        <f t="shared" si="27"/>
        <v>45170</v>
      </c>
    </row>
    <row r="1162" spans="1:16" x14ac:dyDescent="0.25">
      <c r="A1162" s="25"/>
      <c r="N1162">
        <v>1</v>
      </c>
      <c r="O1162" s="8">
        <v>45133</v>
      </c>
      <c r="P1162" s="8">
        <f t="shared" si="27"/>
        <v>45108</v>
      </c>
    </row>
    <row r="1163" spans="1:16" x14ac:dyDescent="0.25">
      <c r="A1163" s="25"/>
      <c r="N1163">
        <v>1</v>
      </c>
      <c r="O1163" s="8">
        <v>45134</v>
      </c>
      <c r="P1163" s="8">
        <f t="shared" si="27"/>
        <v>45108</v>
      </c>
    </row>
    <row r="1164" spans="1:16" x14ac:dyDescent="0.25">
      <c r="A1164" s="25"/>
      <c r="N1164">
        <v>1</v>
      </c>
      <c r="O1164" s="8">
        <v>45138</v>
      </c>
      <c r="P1164" s="8">
        <f t="shared" si="27"/>
        <v>45108</v>
      </c>
    </row>
    <row r="1165" spans="1:16" x14ac:dyDescent="0.25">
      <c r="A1165" s="25"/>
      <c r="N1165">
        <v>1</v>
      </c>
      <c r="O1165" s="8">
        <v>45079</v>
      </c>
      <c r="P1165" s="8">
        <f t="shared" si="27"/>
        <v>45078</v>
      </c>
    </row>
    <row r="1166" spans="1:16" x14ac:dyDescent="0.25">
      <c r="A1166" s="25"/>
      <c r="N1166">
        <v>1</v>
      </c>
      <c r="O1166" s="8">
        <v>45089</v>
      </c>
      <c r="P1166" s="8">
        <f t="shared" si="27"/>
        <v>45078</v>
      </c>
    </row>
    <row r="1167" spans="1:16" x14ac:dyDescent="0.25">
      <c r="A1167" s="25"/>
      <c r="N1167">
        <v>1</v>
      </c>
      <c r="O1167" s="8">
        <v>45101</v>
      </c>
      <c r="P1167" s="8">
        <f t="shared" si="27"/>
        <v>45078</v>
      </c>
    </row>
    <row r="1168" spans="1:16" x14ac:dyDescent="0.25">
      <c r="A1168" s="25"/>
      <c r="N1168">
        <v>1</v>
      </c>
      <c r="O1168" s="8">
        <v>45102</v>
      </c>
      <c r="P1168" s="8">
        <f t="shared" si="27"/>
        <v>45078</v>
      </c>
    </row>
    <row r="1169" spans="1:16" x14ac:dyDescent="0.25">
      <c r="A1169" s="25"/>
      <c r="N1169">
        <v>1</v>
      </c>
      <c r="O1169" s="8">
        <v>45103</v>
      </c>
      <c r="P1169" s="8">
        <f t="shared" si="27"/>
        <v>45078</v>
      </c>
    </row>
    <row r="1170" spans="1:16" x14ac:dyDescent="0.25">
      <c r="A1170" s="25"/>
      <c r="N1170">
        <v>1</v>
      </c>
      <c r="O1170" s="8">
        <v>45104</v>
      </c>
      <c r="P1170" s="8">
        <f t="shared" si="27"/>
        <v>45078</v>
      </c>
    </row>
    <row r="1171" spans="1:16" x14ac:dyDescent="0.25">
      <c r="A1171" s="25"/>
      <c r="N1171">
        <v>1</v>
      </c>
      <c r="O1171" s="8">
        <v>45105</v>
      </c>
      <c r="P1171" s="8">
        <f t="shared" si="27"/>
        <v>45078</v>
      </c>
    </row>
    <row r="1172" spans="1:16" x14ac:dyDescent="0.25">
      <c r="A1172" s="25"/>
      <c r="N1172">
        <v>1</v>
      </c>
      <c r="O1172" s="8">
        <v>45106</v>
      </c>
      <c r="P1172" s="8">
        <f t="shared" si="27"/>
        <v>45078</v>
      </c>
    </row>
    <row r="1173" spans="1:16" x14ac:dyDescent="0.25">
      <c r="A1173" s="25"/>
      <c r="N1173">
        <v>1</v>
      </c>
      <c r="O1173" s="8">
        <v>45107</v>
      </c>
      <c r="P1173" s="8">
        <f t="shared" si="27"/>
        <v>45078</v>
      </c>
    </row>
    <row r="1174" spans="1:16" x14ac:dyDescent="0.25">
      <c r="A1174" s="25"/>
      <c r="N1174">
        <v>1</v>
      </c>
      <c r="O1174" s="8">
        <v>45108</v>
      </c>
      <c r="P1174" s="8">
        <f t="shared" si="27"/>
        <v>45108</v>
      </c>
    </row>
    <row r="1175" spans="1:16" x14ac:dyDescent="0.25">
      <c r="A1175" s="25"/>
      <c r="N1175">
        <v>1</v>
      </c>
      <c r="O1175" s="8">
        <v>45109</v>
      </c>
      <c r="P1175" s="8">
        <f t="shared" si="27"/>
        <v>45108</v>
      </c>
    </row>
    <row r="1176" spans="1:16" x14ac:dyDescent="0.25">
      <c r="A1176" s="25"/>
      <c r="N1176">
        <v>1</v>
      </c>
      <c r="O1176" s="8">
        <v>45110</v>
      </c>
      <c r="P1176" s="8">
        <f t="shared" si="27"/>
        <v>45108</v>
      </c>
    </row>
    <row r="1177" spans="1:16" x14ac:dyDescent="0.25">
      <c r="A1177" s="25"/>
      <c r="N1177">
        <v>1</v>
      </c>
      <c r="O1177" s="8">
        <v>45111</v>
      </c>
      <c r="P1177" s="8">
        <f t="shared" si="27"/>
        <v>45108</v>
      </c>
    </row>
    <row r="1178" spans="1:16" x14ac:dyDescent="0.25">
      <c r="A1178" s="25"/>
      <c r="N1178">
        <v>1</v>
      </c>
      <c r="O1178" s="8">
        <v>45112</v>
      </c>
      <c r="P1178" s="8">
        <f t="shared" si="27"/>
        <v>45108</v>
      </c>
    </row>
    <row r="1179" spans="1:16" x14ac:dyDescent="0.25">
      <c r="A1179" s="25"/>
      <c r="N1179">
        <v>1</v>
      </c>
      <c r="O1179" s="8">
        <v>45113</v>
      </c>
      <c r="P1179" s="8">
        <f t="shared" si="27"/>
        <v>45108</v>
      </c>
    </row>
    <row r="1180" spans="1:16" x14ac:dyDescent="0.25">
      <c r="A1180" s="25"/>
      <c r="N1180">
        <v>1</v>
      </c>
      <c r="O1180" s="8">
        <v>45114</v>
      </c>
      <c r="P1180" s="8">
        <f t="shared" si="27"/>
        <v>45108</v>
      </c>
    </row>
    <row r="1181" spans="1:16" x14ac:dyDescent="0.25">
      <c r="A1181" s="25"/>
      <c r="N1181">
        <v>1</v>
      </c>
      <c r="O1181" s="8">
        <v>45115</v>
      </c>
      <c r="P1181" s="8">
        <f t="shared" si="27"/>
        <v>45108</v>
      </c>
    </row>
    <row r="1182" spans="1:16" x14ac:dyDescent="0.25">
      <c r="A1182" s="25"/>
      <c r="N1182">
        <v>1</v>
      </c>
      <c r="O1182" s="8">
        <v>45116</v>
      </c>
      <c r="P1182" s="8">
        <f t="shared" si="27"/>
        <v>45108</v>
      </c>
    </row>
    <row r="1183" spans="1:16" x14ac:dyDescent="0.25">
      <c r="A1183" s="25"/>
      <c r="N1183">
        <v>1</v>
      </c>
      <c r="O1183" s="8">
        <v>45117</v>
      </c>
      <c r="P1183" s="8">
        <f t="shared" si="27"/>
        <v>45108</v>
      </c>
    </row>
    <row r="1184" spans="1:16" x14ac:dyDescent="0.25">
      <c r="A1184" s="25"/>
      <c r="N1184">
        <v>1</v>
      </c>
      <c r="O1184" s="8">
        <v>45122</v>
      </c>
      <c r="P1184" s="8">
        <f t="shared" si="27"/>
        <v>45108</v>
      </c>
    </row>
    <row r="1185" spans="1:16" x14ac:dyDescent="0.25">
      <c r="A1185" s="25"/>
      <c r="N1185">
        <v>1</v>
      </c>
      <c r="O1185" s="8">
        <v>45125</v>
      </c>
      <c r="P1185" s="8">
        <f t="shared" si="27"/>
        <v>45108</v>
      </c>
    </row>
    <row r="1186" spans="1:16" x14ac:dyDescent="0.25">
      <c r="A1186" s="25"/>
      <c r="N1186">
        <v>1</v>
      </c>
      <c r="O1186" s="8">
        <v>45126</v>
      </c>
      <c r="P1186" s="8">
        <f t="shared" si="27"/>
        <v>45108</v>
      </c>
    </row>
    <row r="1187" spans="1:16" x14ac:dyDescent="0.25">
      <c r="A1187" s="25"/>
      <c r="N1187">
        <v>1</v>
      </c>
      <c r="O1187" s="8">
        <v>45074</v>
      </c>
      <c r="P1187" s="8">
        <f t="shared" si="27"/>
        <v>45047</v>
      </c>
    </row>
    <row r="1188" spans="1:16" x14ac:dyDescent="0.25">
      <c r="A1188" s="25"/>
      <c r="N1188">
        <v>1</v>
      </c>
      <c r="O1188" s="8">
        <v>45075</v>
      </c>
      <c r="P1188" s="8">
        <f t="shared" si="27"/>
        <v>45047</v>
      </c>
    </row>
    <row r="1189" spans="1:16" x14ac:dyDescent="0.25">
      <c r="A1189" s="25"/>
      <c r="N1189">
        <v>1</v>
      </c>
      <c r="O1189" s="8">
        <v>45076</v>
      </c>
      <c r="P1189" s="8">
        <f t="shared" si="27"/>
        <v>45047</v>
      </c>
    </row>
    <row r="1190" spans="1:16" x14ac:dyDescent="0.25">
      <c r="A1190" s="25"/>
      <c r="N1190">
        <v>1</v>
      </c>
      <c r="O1190" s="8">
        <v>45077</v>
      </c>
      <c r="P1190" s="8">
        <f t="shared" si="27"/>
        <v>45047</v>
      </c>
    </row>
    <row r="1191" spans="1:16" x14ac:dyDescent="0.25">
      <c r="A1191" s="25"/>
      <c r="N1191">
        <v>1</v>
      </c>
      <c r="O1191" s="8">
        <v>45078</v>
      </c>
      <c r="P1191" s="8">
        <f t="shared" si="27"/>
        <v>45078</v>
      </c>
    </row>
    <row r="1192" spans="1:16" x14ac:dyDescent="0.25">
      <c r="A1192" s="25"/>
      <c r="N1192">
        <v>1</v>
      </c>
      <c r="O1192" s="8">
        <v>45080</v>
      </c>
      <c r="P1192" s="8">
        <f t="shared" si="27"/>
        <v>45078</v>
      </c>
    </row>
    <row r="1193" spans="1:16" x14ac:dyDescent="0.25">
      <c r="A1193" s="25"/>
      <c r="N1193">
        <v>1</v>
      </c>
      <c r="O1193" s="8">
        <v>45081</v>
      </c>
      <c r="P1193" s="8">
        <f t="shared" si="27"/>
        <v>45078</v>
      </c>
    </row>
    <row r="1194" spans="1:16" x14ac:dyDescent="0.25">
      <c r="A1194" s="25"/>
      <c r="N1194">
        <v>1</v>
      </c>
      <c r="O1194" s="8">
        <v>45150</v>
      </c>
      <c r="P1194" s="8">
        <f t="shared" si="27"/>
        <v>45139</v>
      </c>
    </row>
    <row r="1195" spans="1:16" x14ac:dyDescent="0.25">
      <c r="A1195" s="25"/>
      <c r="N1195">
        <v>1</v>
      </c>
      <c r="O1195" s="8">
        <v>45180</v>
      </c>
      <c r="P1195" s="8">
        <f t="shared" si="27"/>
        <v>45170</v>
      </c>
    </row>
    <row r="1196" spans="1:16" x14ac:dyDescent="0.25">
      <c r="A1196" s="25"/>
      <c r="N1196">
        <v>1</v>
      </c>
      <c r="O1196" s="8">
        <v>45182</v>
      </c>
      <c r="P1196" s="8">
        <f t="shared" si="27"/>
        <v>45170</v>
      </c>
    </row>
    <row r="1197" spans="1:16" x14ac:dyDescent="0.25">
      <c r="A1197" s="25"/>
      <c r="N1197">
        <v>1</v>
      </c>
      <c r="O1197" s="8">
        <v>45183</v>
      </c>
      <c r="P1197" s="8">
        <f t="shared" si="27"/>
        <v>45170</v>
      </c>
    </row>
    <row r="1198" spans="1:16" x14ac:dyDescent="0.25">
      <c r="A1198" s="25"/>
      <c r="N1198">
        <v>1</v>
      </c>
      <c r="O1198" s="8">
        <v>45184</v>
      </c>
      <c r="P1198" s="8">
        <f t="shared" si="27"/>
        <v>45170</v>
      </c>
    </row>
    <row r="1199" spans="1:16" x14ac:dyDescent="0.25">
      <c r="A1199" s="25"/>
      <c r="N1199">
        <v>1</v>
      </c>
      <c r="O1199" s="8">
        <v>45185</v>
      </c>
      <c r="P1199" s="8">
        <f t="shared" si="27"/>
        <v>45170</v>
      </c>
    </row>
    <row r="1200" spans="1:16" x14ac:dyDescent="0.25">
      <c r="A1200" s="25"/>
      <c r="N1200">
        <v>1</v>
      </c>
      <c r="O1200" s="8">
        <v>45186</v>
      </c>
      <c r="P1200" s="8">
        <f t="shared" si="27"/>
        <v>45170</v>
      </c>
    </row>
    <row r="1201" spans="1:16" x14ac:dyDescent="0.25">
      <c r="A1201" s="25"/>
      <c r="N1201">
        <v>1</v>
      </c>
      <c r="O1201" s="8">
        <v>45187</v>
      </c>
      <c r="P1201" s="8">
        <f t="shared" si="27"/>
        <v>45170</v>
      </c>
    </row>
    <row r="1202" spans="1:16" x14ac:dyDescent="0.25">
      <c r="A1202" s="25"/>
      <c r="N1202">
        <v>1</v>
      </c>
      <c r="O1202" s="8">
        <v>45188</v>
      </c>
      <c r="P1202" s="8">
        <f t="shared" si="27"/>
        <v>45170</v>
      </c>
    </row>
    <row r="1203" spans="1:16" x14ac:dyDescent="0.25">
      <c r="A1203" s="25"/>
      <c r="N1203">
        <v>1</v>
      </c>
      <c r="O1203" s="8">
        <v>45189</v>
      </c>
      <c r="P1203" s="8">
        <f t="shared" si="27"/>
        <v>45170</v>
      </c>
    </row>
    <row r="1204" spans="1:16" x14ac:dyDescent="0.25">
      <c r="A1204" s="25"/>
      <c r="N1204">
        <v>1</v>
      </c>
      <c r="O1204" s="8">
        <v>45190</v>
      </c>
      <c r="P1204" s="8">
        <f t="shared" si="27"/>
        <v>45170</v>
      </c>
    </row>
    <row r="1205" spans="1:16" x14ac:dyDescent="0.25">
      <c r="A1205" s="25"/>
      <c r="N1205">
        <v>1</v>
      </c>
      <c r="O1205" s="8">
        <v>45191</v>
      </c>
      <c r="P1205" s="8">
        <f t="shared" si="27"/>
        <v>45170</v>
      </c>
    </row>
    <row r="1206" spans="1:16" x14ac:dyDescent="0.25">
      <c r="A1206" s="25"/>
      <c r="N1206">
        <v>1</v>
      </c>
      <c r="O1206" s="8">
        <v>45192</v>
      </c>
      <c r="P1206" s="8">
        <f t="shared" si="27"/>
        <v>45170</v>
      </c>
    </row>
    <row r="1207" spans="1:16" x14ac:dyDescent="0.25">
      <c r="A1207" s="25"/>
      <c r="N1207">
        <v>1</v>
      </c>
      <c r="O1207" s="8">
        <v>45193</v>
      </c>
      <c r="P1207" s="8">
        <f t="shared" si="27"/>
        <v>45170</v>
      </c>
    </row>
    <row r="1208" spans="1:16" x14ac:dyDescent="0.25">
      <c r="A1208" s="25"/>
      <c r="N1208">
        <v>1</v>
      </c>
      <c r="O1208" s="8">
        <v>45194</v>
      </c>
      <c r="P1208" s="8">
        <f t="shared" si="27"/>
        <v>45170</v>
      </c>
    </row>
    <row r="1209" spans="1:16" x14ac:dyDescent="0.25">
      <c r="A1209" s="25"/>
      <c r="N1209">
        <v>1</v>
      </c>
      <c r="O1209" s="8">
        <v>45199</v>
      </c>
      <c r="P1209" s="8">
        <f t="shared" si="27"/>
        <v>45170</v>
      </c>
    </row>
    <row r="1210" spans="1:16" x14ac:dyDescent="0.25">
      <c r="A1210" s="25"/>
      <c r="N1210">
        <v>1</v>
      </c>
      <c r="O1210" s="8">
        <v>45157</v>
      </c>
      <c r="P1210" s="8">
        <f t="shared" si="27"/>
        <v>45139</v>
      </c>
    </row>
    <row r="1211" spans="1:16" x14ac:dyDescent="0.25">
      <c r="A1211" s="25"/>
      <c r="N1211">
        <v>1</v>
      </c>
      <c r="O1211" s="8">
        <v>45158</v>
      </c>
      <c r="P1211" s="8">
        <f t="shared" si="27"/>
        <v>45139</v>
      </c>
    </row>
    <row r="1212" spans="1:16" x14ac:dyDescent="0.25">
      <c r="A1212" s="25"/>
      <c r="N1212">
        <v>1</v>
      </c>
      <c r="O1212" s="8">
        <v>45160</v>
      </c>
      <c r="P1212" s="8">
        <f t="shared" si="27"/>
        <v>45139</v>
      </c>
    </row>
    <row r="1213" spans="1:16" x14ac:dyDescent="0.25">
      <c r="A1213" s="25"/>
      <c r="N1213">
        <v>1</v>
      </c>
      <c r="O1213" s="8">
        <v>45083</v>
      </c>
      <c r="P1213" s="8">
        <f t="shared" si="27"/>
        <v>45078</v>
      </c>
    </row>
    <row r="1214" spans="1:16" x14ac:dyDescent="0.25">
      <c r="A1214" s="25"/>
      <c r="N1214">
        <v>1</v>
      </c>
      <c r="O1214" s="8">
        <v>45162</v>
      </c>
      <c r="P1214" s="8">
        <f t="shared" si="27"/>
        <v>45139</v>
      </c>
    </row>
    <row r="1215" spans="1:16" x14ac:dyDescent="0.25">
      <c r="A1215" s="25"/>
      <c r="N1215">
        <v>1</v>
      </c>
      <c r="O1215" s="8">
        <v>45159</v>
      </c>
      <c r="P1215" s="8">
        <f t="shared" si="27"/>
        <v>45139</v>
      </c>
    </row>
    <row r="1216" spans="1:16" x14ac:dyDescent="0.25">
      <c r="A1216" s="25"/>
      <c r="N1216">
        <v>1</v>
      </c>
      <c r="O1216" s="8">
        <v>45161</v>
      </c>
      <c r="P1216" s="8">
        <f t="shared" si="27"/>
        <v>45139</v>
      </c>
    </row>
    <row r="1217" spans="1:16" x14ac:dyDescent="0.25">
      <c r="A1217" s="25"/>
      <c r="N1217">
        <v>1</v>
      </c>
      <c r="O1217" s="8">
        <v>45163</v>
      </c>
      <c r="P1217" s="8">
        <f t="shared" si="27"/>
        <v>45139</v>
      </c>
    </row>
    <row r="1218" spans="1:16" x14ac:dyDescent="0.25">
      <c r="A1218" s="25"/>
      <c r="N1218">
        <v>1</v>
      </c>
      <c r="O1218" s="8">
        <v>45164</v>
      </c>
      <c r="P1218" s="8">
        <f t="shared" si="27"/>
        <v>45139</v>
      </c>
    </row>
    <row r="1219" spans="1:16" x14ac:dyDescent="0.25">
      <c r="A1219" s="25"/>
      <c r="N1219">
        <v>1</v>
      </c>
      <c r="O1219" s="8">
        <v>45165</v>
      </c>
      <c r="P1219" s="8">
        <f t="shared" ref="P1219:P1282" si="28">DATE(YEAR(O1219),MONTH(O1219),1)</f>
        <v>45139</v>
      </c>
    </row>
    <row r="1220" spans="1:16" x14ac:dyDescent="0.25">
      <c r="A1220" s="25"/>
      <c r="N1220">
        <v>1</v>
      </c>
      <c r="O1220" s="8">
        <v>45073</v>
      </c>
      <c r="P1220" s="8">
        <f t="shared" si="28"/>
        <v>45047</v>
      </c>
    </row>
    <row r="1221" spans="1:16" x14ac:dyDescent="0.25">
      <c r="A1221" s="25"/>
      <c r="N1221">
        <v>1</v>
      </c>
      <c r="O1221" s="8">
        <v>45263</v>
      </c>
      <c r="P1221" s="8">
        <f t="shared" si="28"/>
        <v>45261</v>
      </c>
    </row>
    <row r="1222" spans="1:16" x14ac:dyDescent="0.25">
      <c r="A1222" s="25"/>
      <c r="N1222">
        <v>1</v>
      </c>
      <c r="O1222" s="8">
        <v>45264</v>
      </c>
      <c r="P1222" s="8">
        <f t="shared" si="28"/>
        <v>45261</v>
      </c>
    </row>
    <row r="1223" spans="1:16" x14ac:dyDescent="0.25">
      <c r="A1223" s="25"/>
      <c r="N1223">
        <v>1</v>
      </c>
      <c r="O1223" s="8">
        <v>45265</v>
      </c>
      <c r="P1223" s="8">
        <f t="shared" si="28"/>
        <v>45261</v>
      </c>
    </row>
    <row r="1224" spans="1:16" x14ac:dyDescent="0.25">
      <c r="A1224" s="25"/>
      <c r="N1224">
        <v>2</v>
      </c>
      <c r="O1224" s="8">
        <v>45132</v>
      </c>
      <c r="P1224" s="8">
        <f t="shared" si="28"/>
        <v>45108</v>
      </c>
    </row>
    <row r="1225" spans="1:16" x14ac:dyDescent="0.25">
      <c r="A1225" s="25"/>
      <c r="N1225">
        <v>2</v>
      </c>
      <c r="O1225" s="8">
        <v>45133</v>
      </c>
      <c r="P1225" s="8">
        <f t="shared" si="28"/>
        <v>45108</v>
      </c>
    </row>
    <row r="1226" spans="1:16" x14ac:dyDescent="0.25">
      <c r="A1226" s="25"/>
      <c r="N1226">
        <v>2</v>
      </c>
      <c r="O1226" s="8">
        <v>45134</v>
      </c>
      <c r="P1226" s="8">
        <f t="shared" si="28"/>
        <v>45108</v>
      </c>
    </row>
    <row r="1227" spans="1:16" x14ac:dyDescent="0.25">
      <c r="A1227" s="25"/>
      <c r="N1227">
        <v>2</v>
      </c>
      <c r="O1227" s="8">
        <v>45135</v>
      </c>
      <c r="P1227" s="8">
        <f t="shared" si="28"/>
        <v>45108</v>
      </c>
    </row>
    <row r="1228" spans="1:16" x14ac:dyDescent="0.25">
      <c r="A1228" s="25"/>
      <c r="N1228">
        <v>2</v>
      </c>
      <c r="O1228" s="8">
        <v>45137</v>
      </c>
      <c r="P1228" s="8">
        <f t="shared" si="28"/>
        <v>45108</v>
      </c>
    </row>
    <row r="1229" spans="1:16" x14ac:dyDescent="0.25">
      <c r="A1229" s="25"/>
      <c r="N1229">
        <v>2</v>
      </c>
      <c r="O1229" s="8">
        <v>45138</v>
      </c>
      <c r="P1229" s="8">
        <f t="shared" si="28"/>
        <v>45108</v>
      </c>
    </row>
    <row r="1230" spans="1:16" x14ac:dyDescent="0.25">
      <c r="A1230" s="25"/>
      <c r="N1230">
        <v>2</v>
      </c>
      <c r="O1230" s="8">
        <v>45141</v>
      </c>
      <c r="P1230" s="8">
        <f t="shared" si="28"/>
        <v>45139</v>
      </c>
    </row>
    <row r="1231" spans="1:16" x14ac:dyDescent="0.25">
      <c r="A1231" s="25"/>
      <c r="N1231">
        <v>2</v>
      </c>
      <c r="O1231" s="8">
        <v>45142</v>
      </c>
      <c r="P1231" s="8">
        <f t="shared" si="28"/>
        <v>45139</v>
      </c>
    </row>
    <row r="1232" spans="1:16" x14ac:dyDescent="0.25">
      <c r="A1232" s="25"/>
      <c r="N1232">
        <v>2</v>
      </c>
      <c r="O1232" s="8">
        <v>45048</v>
      </c>
      <c r="P1232" s="8">
        <f t="shared" si="28"/>
        <v>45047</v>
      </c>
    </row>
    <row r="1233" spans="1:16" x14ac:dyDescent="0.25">
      <c r="A1233" s="25"/>
      <c r="N1233">
        <v>2</v>
      </c>
      <c r="O1233" s="8">
        <v>45049</v>
      </c>
      <c r="P1233" s="8">
        <f t="shared" si="28"/>
        <v>45047</v>
      </c>
    </row>
    <row r="1234" spans="1:16" x14ac:dyDescent="0.25">
      <c r="A1234" s="25"/>
      <c r="N1234">
        <v>2</v>
      </c>
      <c r="O1234" s="8">
        <v>45050</v>
      </c>
      <c r="P1234" s="8">
        <f t="shared" si="28"/>
        <v>45047</v>
      </c>
    </row>
    <row r="1235" spans="1:16" x14ac:dyDescent="0.25">
      <c r="A1235" s="25"/>
      <c r="N1235">
        <v>2</v>
      </c>
      <c r="O1235" s="8">
        <v>45051</v>
      </c>
      <c r="P1235" s="8">
        <f t="shared" si="28"/>
        <v>45047</v>
      </c>
    </row>
    <row r="1236" spans="1:16" x14ac:dyDescent="0.25">
      <c r="A1236" s="25"/>
      <c r="N1236">
        <v>2</v>
      </c>
      <c r="O1236" s="8">
        <v>45052</v>
      </c>
      <c r="P1236" s="8">
        <f t="shared" si="28"/>
        <v>45047</v>
      </c>
    </row>
    <row r="1237" spans="1:16" x14ac:dyDescent="0.25">
      <c r="A1237" s="25"/>
      <c r="N1237">
        <v>2</v>
      </c>
      <c r="O1237" s="8">
        <v>45054</v>
      </c>
      <c r="P1237" s="8">
        <f t="shared" si="28"/>
        <v>45047</v>
      </c>
    </row>
    <row r="1238" spans="1:16" x14ac:dyDescent="0.25">
      <c r="A1238" s="25"/>
      <c r="N1238">
        <v>2</v>
      </c>
      <c r="O1238" s="8">
        <v>45055</v>
      </c>
      <c r="P1238" s="8">
        <f t="shared" si="28"/>
        <v>45047</v>
      </c>
    </row>
    <row r="1239" spans="1:16" x14ac:dyDescent="0.25">
      <c r="A1239" s="25"/>
      <c r="N1239">
        <v>2</v>
      </c>
      <c r="O1239" s="8">
        <v>45056</v>
      </c>
      <c r="P1239" s="8">
        <f t="shared" si="28"/>
        <v>45047</v>
      </c>
    </row>
    <row r="1240" spans="1:16" x14ac:dyDescent="0.25">
      <c r="A1240" s="25"/>
      <c r="N1240">
        <v>2</v>
      </c>
      <c r="O1240" s="8">
        <v>45057</v>
      </c>
      <c r="P1240" s="8">
        <f t="shared" si="28"/>
        <v>45047</v>
      </c>
    </row>
    <row r="1241" spans="1:16" x14ac:dyDescent="0.25">
      <c r="A1241" s="25"/>
      <c r="N1241">
        <v>2</v>
      </c>
      <c r="O1241" s="8">
        <v>45058</v>
      </c>
      <c r="P1241" s="8">
        <f t="shared" si="28"/>
        <v>45047</v>
      </c>
    </row>
    <row r="1242" spans="1:16" x14ac:dyDescent="0.25">
      <c r="A1242" s="25"/>
      <c r="N1242">
        <v>2</v>
      </c>
      <c r="O1242" s="8">
        <v>45059</v>
      </c>
      <c r="P1242" s="8">
        <f t="shared" si="28"/>
        <v>45047</v>
      </c>
    </row>
    <row r="1243" spans="1:16" x14ac:dyDescent="0.25">
      <c r="A1243" s="25"/>
      <c r="N1243">
        <v>2</v>
      </c>
      <c r="O1243" s="8">
        <v>45060</v>
      </c>
      <c r="P1243" s="8">
        <f t="shared" si="28"/>
        <v>45047</v>
      </c>
    </row>
    <row r="1244" spans="1:16" x14ac:dyDescent="0.25">
      <c r="A1244" s="25"/>
      <c r="N1244">
        <v>2</v>
      </c>
      <c r="O1244" s="8">
        <v>45065</v>
      </c>
      <c r="P1244" s="8">
        <f t="shared" si="28"/>
        <v>45047</v>
      </c>
    </row>
    <row r="1245" spans="1:16" x14ac:dyDescent="0.25">
      <c r="A1245" s="25"/>
      <c r="N1245">
        <v>2</v>
      </c>
      <c r="O1245" s="8">
        <v>45066</v>
      </c>
      <c r="P1245" s="8">
        <f t="shared" si="28"/>
        <v>45047</v>
      </c>
    </row>
    <row r="1246" spans="1:16" x14ac:dyDescent="0.25">
      <c r="A1246" s="25"/>
      <c r="N1246">
        <v>2</v>
      </c>
      <c r="O1246" s="8">
        <v>45067</v>
      </c>
      <c r="P1246" s="8">
        <f t="shared" si="28"/>
        <v>45047</v>
      </c>
    </row>
    <row r="1247" spans="1:16" x14ac:dyDescent="0.25">
      <c r="A1247" s="25"/>
      <c r="N1247">
        <v>2</v>
      </c>
      <c r="O1247" s="8">
        <v>45068</v>
      </c>
      <c r="P1247" s="8">
        <f t="shared" si="28"/>
        <v>45047</v>
      </c>
    </row>
    <row r="1248" spans="1:16" x14ac:dyDescent="0.25">
      <c r="A1248" s="25"/>
      <c r="N1248">
        <v>2</v>
      </c>
      <c r="O1248" s="8">
        <v>45069</v>
      </c>
      <c r="P1248" s="8">
        <f t="shared" si="28"/>
        <v>45047</v>
      </c>
    </row>
    <row r="1249" spans="1:16" x14ac:dyDescent="0.25">
      <c r="A1249" s="25"/>
      <c r="N1249">
        <v>2</v>
      </c>
      <c r="O1249" s="8">
        <v>45070</v>
      </c>
      <c r="P1249" s="8">
        <f t="shared" si="28"/>
        <v>45047</v>
      </c>
    </row>
    <row r="1250" spans="1:16" x14ac:dyDescent="0.25">
      <c r="A1250" s="25"/>
      <c r="N1250">
        <v>2</v>
      </c>
      <c r="O1250" s="8">
        <v>45093</v>
      </c>
      <c r="P1250" s="8">
        <f t="shared" si="28"/>
        <v>45078</v>
      </c>
    </row>
    <row r="1251" spans="1:16" x14ac:dyDescent="0.25">
      <c r="A1251" s="25"/>
      <c r="N1251">
        <v>2</v>
      </c>
      <c r="O1251" s="8">
        <v>45094</v>
      </c>
      <c r="P1251" s="8">
        <f t="shared" si="28"/>
        <v>45078</v>
      </c>
    </row>
    <row r="1252" spans="1:16" x14ac:dyDescent="0.25">
      <c r="A1252" s="25"/>
      <c r="N1252">
        <v>2</v>
      </c>
      <c r="O1252" s="8">
        <v>45095</v>
      </c>
      <c r="P1252" s="8">
        <f t="shared" si="28"/>
        <v>45078</v>
      </c>
    </row>
    <row r="1253" spans="1:16" x14ac:dyDescent="0.25">
      <c r="A1253" s="25"/>
      <c r="N1253">
        <v>2</v>
      </c>
      <c r="O1253" s="8">
        <v>45096</v>
      </c>
      <c r="P1253" s="8">
        <f t="shared" si="28"/>
        <v>45078</v>
      </c>
    </row>
    <row r="1254" spans="1:16" x14ac:dyDescent="0.25">
      <c r="A1254" s="25"/>
      <c r="N1254">
        <v>2</v>
      </c>
      <c r="O1254" s="8">
        <v>45099</v>
      </c>
      <c r="P1254" s="8">
        <f t="shared" si="28"/>
        <v>45078</v>
      </c>
    </row>
    <row r="1255" spans="1:16" x14ac:dyDescent="0.25">
      <c r="A1255" s="25"/>
      <c r="N1255">
        <v>2</v>
      </c>
      <c r="O1255" s="8">
        <v>45100</v>
      </c>
      <c r="P1255" s="8">
        <f t="shared" si="28"/>
        <v>45078</v>
      </c>
    </row>
    <row r="1256" spans="1:16" x14ac:dyDescent="0.25">
      <c r="A1256" s="25"/>
      <c r="N1256">
        <v>2</v>
      </c>
      <c r="O1256" s="8">
        <v>45101</v>
      </c>
      <c r="P1256" s="8">
        <f t="shared" si="28"/>
        <v>45078</v>
      </c>
    </row>
    <row r="1257" spans="1:16" x14ac:dyDescent="0.25">
      <c r="A1257" s="25"/>
      <c r="N1257">
        <v>2</v>
      </c>
      <c r="O1257" s="8">
        <v>45102</v>
      </c>
      <c r="P1257" s="8">
        <f t="shared" si="28"/>
        <v>45078</v>
      </c>
    </row>
    <row r="1258" spans="1:16" x14ac:dyDescent="0.25">
      <c r="A1258" s="25"/>
      <c r="N1258">
        <v>2</v>
      </c>
      <c r="O1258" s="8">
        <v>45103</v>
      </c>
      <c r="P1258" s="8">
        <f t="shared" si="28"/>
        <v>45078</v>
      </c>
    </row>
    <row r="1259" spans="1:16" x14ac:dyDescent="0.25">
      <c r="A1259" s="25"/>
      <c r="N1259">
        <v>2</v>
      </c>
      <c r="O1259" s="8">
        <v>45104</v>
      </c>
      <c r="P1259" s="8">
        <f t="shared" si="28"/>
        <v>45078</v>
      </c>
    </row>
    <row r="1260" spans="1:16" x14ac:dyDescent="0.25">
      <c r="A1260" s="25"/>
      <c r="N1260">
        <v>2</v>
      </c>
      <c r="O1260" s="8">
        <v>45105</v>
      </c>
      <c r="P1260" s="8">
        <f t="shared" si="28"/>
        <v>45078</v>
      </c>
    </row>
    <row r="1261" spans="1:16" x14ac:dyDescent="0.25">
      <c r="A1261" s="25"/>
      <c r="N1261">
        <v>2</v>
      </c>
      <c r="O1261" s="8">
        <v>45107</v>
      </c>
      <c r="P1261" s="8">
        <f t="shared" si="28"/>
        <v>45078</v>
      </c>
    </row>
    <row r="1262" spans="1:16" x14ac:dyDescent="0.25">
      <c r="A1262" s="25"/>
      <c r="N1262">
        <v>2</v>
      </c>
      <c r="O1262" s="8">
        <v>45109</v>
      </c>
      <c r="P1262" s="8">
        <f t="shared" si="28"/>
        <v>45108</v>
      </c>
    </row>
    <row r="1263" spans="1:16" x14ac:dyDescent="0.25">
      <c r="A1263" s="25"/>
      <c r="N1263">
        <v>2</v>
      </c>
      <c r="O1263" s="8">
        <v>45111</v>
      </c>
      <c r="P1263" s="8">
        <f t="shared" si="28"/>
        <v>45108</v>
      </c>
    </row>
    <row r="1264" spans="1:16" x14ac:dyDescent="0.25">
      <c r="A1264" s="25"/>
      <c r="N1264">
        <v>2</v>
      </c>
      <c r="O1264" s="8">
        <v>45112</v>
      </c>
      <c r="P1264" s="8">
        <f t="shared" si="28"/>
        <v>45108</v>
      </c>
    </row>
    <row r="1265" spans="1:16" x14ac:dyDescent="0.25">
      <c r="A1265" s="25"/>
      <c r="N1265">
        <v>2</v>
      </c>
      <c r="O1265" s="8">
        <v>45113</v>
      </c>
      <c r="P1265" s="8">
        <f t="shared" si="28"/>
        <v>45108</v>
      </c>
    </row>
    <row r="1266" spans="1:16" x14ac:dyDescent="0.25">
      <c r="A1266" s="25"/>
      <c r="N1266">
        <v>2</v>
      </c>
      <c r="O1266" s="8">
        <v>45114</v>
      </c>
      <c r="P1266" s="8">
        <f t="shared" si="28"/>
        <v>45108</v>
      </c>
    </row>
    <row r="1267" spans="1:16" x14ac:dyDescent="0.25">
      <c r="A1267" s="25"/>
      <c r="N1267">
        <v>2</v>
      </c>
      <c r="O1267" s="8">
        <v>45115</v>
      </c>
      <c r="P1267" s="8">
        <f t="shared" si="28"/>
        <v>45108</v>
      </c>
    </row>
    <row r="1268" spans="1:16" x14ac:dyDescent="0.25">
      <c r="A1268" s="25"/>
      <c r="N1268">
        <v>2</v>
      </c>
      <c r="O1268" s="8">
        <v>45116</v>
      </c>
      <c r="P1268" s="8">
        <f t="shared" si="28"/>
        <v>45108</v>
      </c>
    </row>
    <row r="1269" spans="1:16" x14ac:dyDescent="0.25">
      <c r="A1269" s="25"/>
      <c r="N1269">
        <v>2</v>
      </c>
      <c r="O1269" s="8">
        <v>45117</v>
      </c>
      <c r="P1269" s="8">
        <f t="shared" si="28"/>
        <v>45108</v>
      </c>
    </row>
    <row r="1270" spans="1:16" x14ac:dyDescent="0.25">
      <c r="A1270" s="25"/>
      <c r="N1270">
        <v>2</v>
      </c>
      <c r="O1270" s="8">
        <v>45118</v>
      </c>
      <c r="P1270" s="8">
        <f t="shared" si="28"/>
        <v>45108</v>
      </c>
    </row>
    <row r="1271" spans="1:16" x14ac:dyDescent="0.25">
      <c r="A1271" s="25"/>
      <c r="N1271">
        <v>2</v>
      </c>
      <c r="O1271" s="8">
        <v>45119</v>
      </c>
      <c r="P1271" s="8">
        <f t="shared" si="28"/>
        <v>45108</v>
      </c>
    </row>
    <row r="1272" spans="1:16" x14ac:dyDescent="0.25">
      <c r="A1272" s="25"/>
      <c r="N1272">
        <v>2</v>
      </c>
      <c r="O1272" s="8">
        <v>45120</v>
      </c>
      <c r="P1272" s="8">
        <f t="shared" si="28"/>
        <v>45108</v>
      </c>
    </row>
    <row r="1273" spans="1:16" x14ac:dyDescent="0.25">
      <c r="A1273" s="25"/>
      <c r="N1273">
        <v>2</v>
      </c>
      <c r="O1273" s="8">
        <v>45121</v>
      </c>
      <c r="P1273" s="8">
        <f t="shared" si="28"/>
        <v>45108</v>
      </c>
    </row>
    <row r="1274" spans="1:16" x14ac:dyDescent="0.25">
      <c r="A1274" s="25"/>
      <c r="N1274">
        <v>2</v>
      </c>
      <c r="O1274" s="8">
        <v>45123</v>
      </c>
      <c r="P1274" s="8">
        <f t="shared" si="28"/>
        <v>45108</v>
      </c>
    </row>
    <row r="1275" spans="1:16" x14ac:dyDescent="0.25">
      <c r="A1275" s="25"/>
      <c r="N1275">
        <v>2</v>
      </c>
      <c r="O1275" s="8">
        <v>45061</v>
      </c>
      <c r="P1275" s="8">
        <f t="shared" si="28"/>
        <v>45047</v>
      </c>
    </row>
    <row r="1276" spans="1:16" x14ac:dyDescent="0.25">
      <c r="A1276" s="25"/>
      <c r="N1276">
        <v>2</v>
      </c>
      <c r="O1276" s="8">
        <v>45062</v>
      </c>
      <c r="P1276" s="8">
        <f t="shared" si="28"/>
        <v>45047</v>
      </c>
    </row>
    <row r="1277" spans="1:16" x14ac:dyDescent="0.25">
      <c r="A1277" s="25"/>
      <c r="N1277">
        <v>2</v>
      </c>
      <c r="O1277" s="8">
        <v>45063</v>
      </c>
      <c r="P1277" s="8">
        <f t="shared" si="28"/>
        <v>45047</v>
      </c>
    </row>
    <row r="1278" spans="1:16" x14ac:dyDescent="0.25">
      <c r="A1278" s="25"/>
      <c r="N1278">
        <v>2</v>
      </c>
      <c r="O1278" s="8">
        <v>45064</v>
      </c>
      <c r="P1278" s="8">
        <f t="shared" si="28"/>
        <v>45047</v>
      </c>
    </row>
    <row r="1279" spans="1:16" x14ac:dyDescent="0.25">
      <c r="A1279" s="25"/>
      <c r="N1279">
        <v>2</v>
      </c>
      <c r="O1279" s="8">
        <v>45071</v>
      </c>
      <c r="P1279" s="8">
        <f t="shared" si="28"/>
        <v>45047</v>
      </c>
    </row>
    <row r="1280" spans="1:16" x14ac:dyDescent="0.25">
      <c r="A1280" s="25"/>
      <c r="N1280">
        <v>2</v>
      </c>
      <c r="O1280" s="8">
        <v>45072</v>
      </c>
      <c r="P1280" s="8">
        <f t="shared" si="28"/>
        <v>45047</v>
      </c>
    </row>
    <row r="1281" spans="1:16" x14ac:dyDescent="0.25">
      <c r="A1281" s="25"/>
      <c r="N1281">
        <v>2</v>
      </c>
      <c r="O1281" s="8">
        <v>45073</v>
      </c>
      <c r="P1281" s="8">
        <f t="shared" si="28"/>
        <v>45047</v>
      </c>
    </row>
    <row r="1282" spans="1:16" x14ac:dyDescent="0.25">
      <c r="A1282" s="25"/>
      <c r="N1282">
        <v>2</v>
      </c>
      <c r="O1282" s="8">
        <v>45098</v>
      </c>
      <c r="P1282" s="8">
        <f t="shared" si="28"/>
        <v>45078</v>
      </c>
    </row>
    <row r="1283" spans="1:16" x14ac:dyDescent="0.25">
      <c r="A1283" s="25"/>
      <c r="N1283">
        <v>2</v>
      </c>
      <c r="O1283" s="8">
        <v>45106</v>
      </c>
      <c r="P1283" s="8">
        <f t="shared" ref="P1283:P1346" si="29">DATE(YEAR(O1283),MONTH(O1283),1)</f>
        <v>45078</v>
      </c>
    </row>
    <row r="1284" spans="1:16" x14ac:dyDescent="0.25">
      <c r="A1284" s="25"/>
      <c r="N1284">
        <v>2</v>
      </c>
      <c r="O1284" s="8">
        <v>45122</v>
      </c>
      <c r="P1284" s="8">
        <f t="shared" si="29"/>
        <v>45108</v>
      </c>
    </row>
    <row r="1285" spans="1:16" x14ac:dyDescent="0.25">
      <c r="A1285" s="25"/>
      <c r="N1285">
        <v>2</v>
      </c>
      <c r="O1285" s="8">
        <v>45124</v>
      </c>
      <c r="P1285" s="8">
        <f t="shared" si="29"/>
        <v>45108</v>
      </c>
    </row>
    <row r="1286" spans="1:16" x14ac:dyDescent="0.25">
      <c r="A1286" s="25"/>
      <c r="N1286">
        <v>2</v>
      </c>
      <c r="O1286" s="8">
        <v>45125</v>
      </c>
      <c r="P1286" s="8">
        <f t="shared" si="29"/>
        <v>45108</v>
      </c>
    </row>
    <row r="1287" spans="1:16" x14ac:dyDescent="0.25">
      <c r="A1287" s="25"/>
      <c r="N1287">
        <v>2</v>
      </c>
      <c r="O1287" s="8">
        <v>45126</v>
      </c>
      <c r="P1287" s="8">
        <f t="shared" si="29"/>
        <v>45108</v>
      </c>
    </row>
    <row r="1288" spans="1:16" x14ac:dyDescent="0.25">
      <c r="A1288" s="25"/>
      <c r="N1288">
        <v>2</v>
      </c>
      <c r="O1288" s="8">
        <v>45127</v>
      </c>
      <c r="P1288" s="8">
        <f t="shared" si="29"/>
        <v>45108</v>
      </c>
    </row>
    <row r="1289" spans="1:16" x14ac:dyDescent="0.25">
      <c r="A1289" s="25"/>
      <c r="N1289">
        <v>2</v>
      </c>
      <c r="O1289" s="8">
        <v>45128</v>
      </c>
      <c r="P1289" s="8">
        <f t="shared" si="29"/>
        <v>45108</v>
      </c>
    </row>
    <row r="1290" spans="1:16" x14ac:dyDescent="0.25">
      <c r="A1290" s="25"/>
      <c r="N1290">
        <v>2</v>
      </c>
      <c r="O1290" s="8">
        <v>45129</v>
      </c>
      <c r="P1290" s="8">
        <f t="shared" si="29"/>
        <v>45108</v>
      </c>
    </row>
    <row r="1291" spans="1:16" x14ac:dyDescent="0.25">
      <c r="A1291" s="25"/>
      <c r="N1291">
        <v>2</v>
      </c>
      <c r="O1291" s="8">
        <v>45136</v>
      </c>
      <c r="P1291" s="8">
        <f t="shared" si="29"/>
        <v>45108</v>
      </c>
    </row>
    <row r="1292" spans="1:16" x14ac:dyDescent="0.25">
      <c r="A1292" s="25"/>
      <c r="N1292">
        <v>2</v>
      </c>
      <c r="O1292" s="8">
        <v>45154</v>
      </c>
      <c r="P1292" s="8">
        <f t="shared" si="29"/>
        <v>45139</v>
      </c>
    </row>
    <row r="1293" spans="1:16" x14ac:dyDescent="0.25">
      <c r="A1293" s="25"/>
      <c r="N1293">
        <v>2</v>
      </c>
      <c r="O1293" s="8">
        <v>45155</v>
      </c>
      <c r="P1293" s="8">
        <f t="shared" si="29"/>
        <v>45139</v>
      </c>
    </row>
    <row r="1294" spans="1:16" x14ac:dyDescent="0.25">
      <c r="A1294" s="25"/>
      <c r="N1294">
        <v>2</v>
      </c>
      <c r="O1294" s="8">
        <v>45156</v>
      </c>
      <c r="P1294" s="8">
        <f t="shared" si="29"/>
        <v>45139</v>
      </c>
    </row>
    <row r="1295" spans="1:16" x14ac:dyDescent="0.25">
      <c r="A1295" s="25"/>
      <c r="N1295">
        <v>2</v>
      </c>
      <c r="O1295" s="8">
        <v>45157</v>
      </c>
      <c r="P1295" s="8">
        <f t="shared" si="29"/>
        <v>45139</v>
      </c>
    </row>
    <row r="1296" spans="1:16" x14ac:dyDescent="0.25">
      <c r="A1296" s="25"/>
      <c r="N1296">
        <v>2</v>
      </c>
      <c r="O1296" s="8">
        <v>45159</v>
      </c>
      <c r="P1296" s="8">
        <f t="shared" si="29"/>
        <v>45139</v>
      </c>
    </row>
    <row r="1297" spans="1:16" x14ac:dyDescent="0.25">
      <c r="A1297" s="25"/>
      <c r="N1297">
        <v>2</v>
      </c>
      <c r="O1297" s="8">
        <v>45143</v>
      </c>
      <c r="P1297" s="8">
        <f t="shared" si="29"/>
        <v>45139</v>
      </c>
    </row>
    <row r="1298" spans="1:16" x14ac:dyDescent="0.25">
      <c r="A1298" s="25"/>
      <c r="N1298">
        <v>2</v>
      </c>
      <c r="O1298" s="8">
        <v>45158</v>
      </c>
      <c r="P1298" s="8">
        <f t="shared" si="29"/>
        <v>45139</v>
      </c>
    </row>
    <row r="1299" spans="1:16" x14ac:dyDescent="0.25">
      <c r="A1299" s="25"/>
      <c r="N1299">
        <v>2</v>
      </c>
      <c r="O1299" s="8">
        <v>45160</v>
      </c>
      <c r="P1299" s="8">
        <f t="shared" si="29"/>
        <v>45139</v>
      </c>
    </row>
    <row r="1300" spans="1:16" x14ac:dyDescent="0.25">
      <c r="A1300" s="25"/>
      <c r="N1300">
        <v>2</v>
      </c>
      <c r="O1300" s="8">
        <v>45161</v>
      </c>
      <c r="P1300" s="8">
        <f t="shared" si="29"/>
        <v>45139</v>
      </c>
    </row>
    <row r="1301" spans="1:16" x14ac:dyDescent="0.25">
      <c r="A1301" s="25"/>
      <c r="N1301">
        <v>2</v>
      </c>
      <c r="O1301" s="8">
        <v>45162</v>
      </c>
      <c r="P1301" s="8">
        <f t="shared" si="29"/>
        <v>45139</v>
      </c>
    </row>
    <row r="1302" spans="1:16" x14ac:dyDescent="0.25">
      <c r="A1302" s="25"/>
      <c r="N1302">
        <v>2</v>
      </c>
      <c r="O1302" s="8">
        <v>45163</v>
      </c>
      <c r="P1302" s="8">
        <f t="shared" si="29"/>
        <v>45139</v>
      </c>
    </row>
    <row r="1303" spans="1:16" x14ac:dyDescent="0.25">
      <c r="A1303" s="25"/>
      <c r="N1303">
        <v>2</v>
      </c>
      <c r="O1303" s="8">
        <v>45164</v>
      </c>
      <c r="P1303" s="8">
        <f t="shared" si="29"/>
        <v>45139</v>
      </c>
    </row>
    <row r="1304" spans="1:16" x14ac:dyDescent="0.25">
      <c r="A1304" s="25"/>
      <c r="N1304">
        <v>2</v>
      </c>
      <c r="O1304" s="8">
        <v>45075</v>
      </c>
      <c r="P1304" s="8">
        <f t="shared" si="29"/>
        <v>45047</v>
      </c>
    </row>
    <row r="1305" spans="1:16" x14ac:dyDescent="0.25">
      <c r="A1305" s="25"/>
      <c r="N1305">
        <v>2</v>
      </c>
      <c r="O1305" s="8">
        <v>45076</v>
      </c>
      <c r="P1305" s="8">
        <f t="shared" si="29"/>
        <v>45047</v>
      </c>
    </row>
    <row r="1306" spans="1:16" x14ac:dyDescent="0.25">
      <c r="A1306" s="25"/>
      <c r="N1306">
        <v>2</v>
      </c>
      <c r="O1306" s="8">
        <v>45077</v>
      </c>
      <c r="P1306" s="8">
        <f t="shared" si="29"/>
        <v>45047</v>
      </c>
    </row>
    <row r="1307" spans="1:16" x14ac:dyDescent="0.25">
      <c r="A1307" s="25"/>
      <c r="N1307">
        <v>2</v>
      </c>
      <c r="O1307" s="8">
        <v>45078</v>
      </c>
      <c r="P1307" s="8">
        <f t="shared" si="29"/>
        <v>45078</v>
      </c>
    </row>
    <row r="1308" spans="1:16" x14ac:dyDescent="0.25">
      <c r="A1308" s="25"/>
      <c r="N1308">
        <v>2</v>
      </c>
      <c r="O1308" s="8">
        <v>45079</v>
      </c>
      <c r="P1308" s="8">
        <f t="shared" si="29"/>
        <v>45078</v>
      </c>
    </row>
    <row r="1309" spans="1:16" x14ac:dyDescent="0.25">
      <c r="A1309" s="25"/>
      <c r="N1309">
        <v>2</v>
      </c>
      <c r="O1309" s="8">
        <v>45080</v>
      </c>
      <c r="P1309" s="8">
        <f t="shared" si="29"/>
        <v>45078</v>
      </c>
    </row>
    <row r="1310" spans="1:16" x14ac:dyDescent="0.25">
      <c r="A1310" s="25"/>
      <c r="N1310">
        <v>2</v>
      </c>
      <c r="O1310" s="8">
        <v>45081</v>
      </c>
      <c r="P1310" s="8">
        <f t="shared" si="29"/>
        <v>45078</v>
      </c>
    </row>
    <row r="1311" spans="1:16" x14ac:dyDescent="0.25">
      <c r="A1311" s="25"/>
      <c r="N1311">
        <v>2</v>
      </c>
      <c r="O1311" s="8">
        <v>45082</v>
      </c>
      <c r="P1311" s="8">
        <f t="shared" si="29"/>
        <v>45078</v>
      </c>
    </row>
    <row r="1312" spans="1:16" x14ac:dyDescent="0.25">
      <c r="A1312" s="25"/>
      <c r="N1312">
        <v>2</v>
      </c>
      <c r="O1312" s="8">
        <v>45083</v>
      </c>
      <c r="P1312" s="8">
        <f t="shared" si="29"/>
        <v>45078</v>
      </c>
    </row>
    <row r="1313" spans="1:16" x14ac:dyDescent="0.25">
      <c r="A1313" s="25"/>
      <c r="N1313">
        <v>2</v>
      </c>
      <c r="O1313" s="8">
        <v>45084</v>
      </c>
      <c r="P1313" s="8">
        <f t="shared" si="29"/>
        <v>45078</v>
      </c>
    </row>
    <row r="1314" spans="1:16" x14ac:dyDescent="0.25">
      <c r="A1314" s="25"/>
      <c r="N1314">
        <v>2</v>
      </c>
      <c r="O1314" s="8">
        <v>45085</v>
      </c>
      <c r="P1314" s="8">
        <f t="shared" si="29"/>
        <v>45078</v>
      </c>
    </row>
    <row r="1315" spans="1:16" x14ac:dyDescent="0.25">
      <c r="A1315" s="25"/>
      <c r="N1315">
        <v>2</v>
      </c>
      <c r="O1315" s="8">
        <v>45087</v>
      </c>
      <c r="P1315" s="8">
        <f t="shared" si="29"/>
        <v>45078</v>
      </c>
    </row>
    <row r="1316" spans="1:16" x14ac:dyDescent="0.25">
      <c r="A1316" s="25"/>
      <c r="N1316">
        <v>2</v>
      </c>
      <c r="O1316" s="8">
        <v>45088</v>
      </c>
      <c r="P1316" s="8">
        <f t="shared" si="29"/>
        <v>45078</v>
      </c>
    </row>
    <row r="1317" spans="1:16" x14ac:dyDescent="0.25">
      <c r="A1317" s="25"/>
      <c r="N1317">
        <v>2</v>
      </c>
      <c r="O1317" s="8">
        <v>45097</v>
      </c>
      <c r="P1317" s="8">
        <f t="shared" si="29"/>
        <v>45078</v>
      </c>
    </row>
    <row r="1318" spans="1:16" x14ac:dyDescent="0.25">
      <c r="A1318" s="25"/>
      <c r="N1318">
        <v>2</v>
      </c>
      <c r="O1318" s="8">
        <v>45053</v>
      </c>
      <c r="P1318" s="8">
        <f t="shared" si="29"/>
        <v>45047</v>
      </c>
    </row>
    <row r="1319" spans="1:16" x14ac:dyDescent="0.25">
      <c r="A1319" s="25"/>
      <c r="N1319">
        <v>2</v>
      </c>
      <c r="O1319" s="8">
        <v>45130</v>
      </c>
      <c r="P1319" s="8">
        <f t="shared" si="29"/>
        <v>45108</v>
      </c>
    </row>
    <row r="1320" spans="1:16" x14ac:dyDescent="0.25">
      <c r="A1320" s="25"/>
      <c r="N1320">
        <v>2</v>
      </c>
      <c r="O1320" s="8">
        <v>45131</v>
      </c>
      <c r="P1320" s="8">
        <f t="shared" si="29"/>
        <v>45108</v>
      </c>
    </row>
    <row r="1321" spans="1:16" x14ac:dyDescent="0.25">
      <c r="A1321" s="25"/>
      <c r="N1321">
        <v>3</v>
      </c>
      <c r="O1321" s="8">
        <v>45068</v>
      </c>
      <c r="P1321" s="8">
        <f t="shared" si="29"/>
        <v>45047</v>
      </c>
    </row>
    <row r="1322" spans="1:16" x14ac:dyDescent="0.25">
      <c r="A1322" s="25"/>
      <c r="N1322">
        <v>3</v>
      </c>
      <c r="O1322" s="8">
        <v>45071</v>
      </c>
      <c r="P1322" s="8">
        <f t="shared" si="29"/>
        <v>45047</v>
      </c>
    </row>
    <row r="1323" spans="1:16" x14ac:dyDescent="0.25">
      <c r="A1323" s="25"/>
      <c r="N1323">
        <v>3</v>
      </c>
      <c r="O1323" s="8">
        <v>45072</v>
      </c>
      <c r="P1323" s="8">
        <f t="shared" si="29"/>
        <v>45047</v>
      </c>
    </row>
    <row r="1324" spans="1:16" x14ac:dyDescent="0.25">
      <c r="A1324" s="25"/>
      <c r="N1324">
        <v>3</v>
      </c>
      <c r="O1324" s="8">
        <v>45073</v>
      </c>
      <c r="P1324" s="8">
        <f t="shared" si="29"/>
        <v>45047</v>
      </c>
    </row>
    <row r="1325" spans="1:16" x14ac:dyDescent="0.25">
      <c r="A1325" s="25"/>
      <c r="N1325">
        <v>3</v>
      </c>
      <c r="O1325" s="8">
        <v>45078</v>
      </c>
      <c r="P1325" s="8">
        <f t="shared" si="29"/>
        <v>45078</v>
      </c>
    </row>
    <row r="1326" spans="1:16" x14ac:dyDescent="0.25">
      <c r="A1326" s="25"/>
      <c r="N1326">
        <v>3</v>
      </c>
      <c r="O1326" s="8">
        <v>45079</v>
      </c>
      <c r="P1326" s="8">
        <f t="shared" si="29"/>
        <v>45078</v>
      </c>
    </row>
    <row r="1327" spans="1:16" x14ac:dyDescent="0.25">
      <c r="A1327" s="25"/>
      <c r="N1327">
        <v>3</v>
      </c>
      <c r="O1327" s="8">
        <v>45080</v>
      </c>
      <c r="P1327" s="8">
        <f t="shared" si="29"/>
        <v>45078</v>
      </c>
    </row>
    <row r="1328" spans="1:16" x14ac:dyDescent="0.25">
      <c r="A1328" s="25"/>
      <c r="N1328">
        <v>3</v>
      </c>
      <c r="O1328" s="8">
        <v>45081</v>
      </c>
      <c r="P1328" s="8">
        <f t="shared" si="29"/>
        <v>45078</v>
      </c>
    </row>
    <row r="1329" spans="1:16" x14ac:dyDescent="0.25">
      <c r="A1329" s="25"/>
      <c r="N1329">
        <v>3</v>
      </c>
      <c r="O1329" s="8">
        <v>45175</v>
      </c>
      <c r="P1329" s="8">
        <f t="shared" si="29"/>
        <v>45170</v>
      </c>
    </row>
    <row r="1330" spans="1:16" x14ac:dyDescent="0.25">
      <c r="A1330" s="25"/>
      <c r="N1330">
        <v>3</v>
      </c>
      <c r="O1330" s="8">
        <v>45047</v>
      </c>
      <c r="P1330" s="8">
        <f t="shared" si="29"/>
        <v>45047</v>
      </c>
    </row>
    <row r="1331" spans="1:16" x14ac:dyDescent="0.25">
      <c r="A1331" s="25"/>
      <c r="N1331">
        <v>3</v>
      </c>
      <c r="O1331" s="8">
        <v>45052</v>
      </c>
      <c r="P1331" s="8">
        <f t="shared" si="29"/>
        <v>45047</v>
      </c>
    </row>
    <row r="1332" spans="1:16" x14ac:dyDescent="0.25">
      <c r="A1332" s="25"/>
      <c r="N1332">
        <v>3</v>
      </c>
      <c r="O1332" s="8">
        <v>45053</v>
      </c>
      <c r="P1332" s="8">
        <f t="shared" si="29"/>
        <v>45047</v>
      </c>
    </row>
    <row r="1333" spans="1:16" x14ac:dyDescent="0.25">
      <c r="A1333" s="25"/>
      <c r="N1333">
        <v>3</v>
      </c>
      <c r="O1333" s="8">
        <v>45055</v>
      </c>
      <c r="P1333" s="8">
        <f t="shared" si="29"/>
        <v>45047</v>
      </c>
    </row>
    <row r="1334" spans="1:16" x14ac:dyDescent="0.25">
      <c r="A1334" s="25"/>
      <c r="N1334">
        <v>3</v>
      </c>
      <c r="O1334" s="8">
        <v>45056</v>
      </c>
      <c r="P1334" s="8">
        <f t="shared" si="29"/>
        <v>45047</v>
      </c>
    </row>
    <row r="1335" spans="1:16" x14ac:dyDescent="0.25">
      <c r="A1335" s="25"/>
      <c r="N1335">
        <v>3</v>
      </c>
      <c r="O1335" s="8">
        <v>45059</v>
      </c>
      <c r="P1335" s="8">
        <f t="shared" si="29"/>
        <v>45047</v>
      </c>
    </row>
    <row r="1336" spans="1:16" x14ac:dyDescent="0.25">
      <c r="A1336" s="25"/>
      <c r="N1336">
        <v>3</v>
      </c>
      <c r="O1336" s="8">
        <v>45060</v>
      </c>
      <c r="P1336" s="8">
        <f t="shared" si="29"/>
        <v>45047</v>
      </c>
    </row>
    <row r="1337" spans="1:16" x14ac:dyDescent="0.25">
      <c r="A1337" s="25"/>
      <c r="N1337">
        <v>3</v>
      </c>
      <c r="O1337" s="8">
        <v>45061</v>
      </c>
      <c r="P1337" s="8">
        <f t="shared" si="29"/>
        <v>45047</v>
      </c>
    </row>
    <row r="1338" spans="1:16" x14ac:dyDescent="0.25">
      <c r="A1338" s="25"/>
      <c r="N1338">
        <v>3</v>
      </c>
      <c r="O1338" s="8">
        <v>45062</v>
      </c>
      <c r="P1338" s="8">
        <f t="shared" si="29"/>
        <v>45047</v>
      </c>
    </row>
    <row r="1339" spans="1:16" x14ac:dyDescent="0.25">
      <c r="A1339" s="25"/>
      <c r="N1339">
        <v>3</v>
      </c>
      <c r="O1339" s="8">
        <v>45063</v>
      </c>
      <c r="P1339" s="8">
        <f t="shared" si="29"/>
        <v>45047</v>
      </c>
    </row>
    <row r="1340" spans="1:16" x14ac:dyDescent="0.25">
      <c r="A1340" s="25"/>
      <c r="N1340">
        <v>3</v>
      </c>
      <c r="O1340" s="8">
        <v>45064</v>
      </c>
      <c r="P1340" s="8">
        <f t="shared" si="29"/>
        <v>45047</v>
      </c>
    </row>
    <row r="1341" spans="1:16" x14ac:dyDescent="0.25">
      <c r="A1341" s="25"/>
      <c r="N1341">
        <v>3</v>
      </c>
      <c r="O1341" s="8">
        <v>45065</v>
      </c>
      <c r="P1341" s="8">
        <f t="shared" si="29"/>
        <v>45047</v>
      </c>
    </row>
    <row r="1342" spans="1:16" x14ac:dyDescent="0.25">
      <c r="A1342" s="25"/>
      <c r="N1342">
        <v>3</v>
      </c>
      <c r="O1342" s="8">
        <v>45066</v>
      </c>
      <c r="P1342" s="8">
        <f t="shared" si="29"/>
        <v>45047</v>
      </c>
    </row>
    <row r="1343" spans="1:16" x14ac:dyDescent="0.25">
      <c r="A1343" s="25"/>
      <c r="N1343">
        <v>3</v>
      </c>
      <c r="O1343" s="8">
        <v>45067</v>
      </c>
      <c r="P1343" s="8">
        <f t="shared" si="29"/>
        <v>45047</v>
      </c>
    </row>
    <row r="1344" spans="1:16" x14ac:dyDescent="0.25">
      <c r="A1344" s="25"/>
      <c r="N1344">
        <v>3</v>
      </c>
      <c r="O1344" s="8">
        <v>45082</v>
      </c>
      <c r="P1344" s="8">
        <f t="shared" si="29"/>
        <v>45078</v>
      </c>
    </row>
    <row r="1345" spans="1:16" x14ac:dyDescent="0.25">
      <c r="A1345" s="25"/>
      <c r="N1345">
        <v>3</v>
      </c>
      <c r="O1345" s="8">
        <v>45085</v>
      </c>
      <c r="P1345" s="8">
        <f t="shared" si="29"/>
        <v>45078</v>
      </c>
    </row>
    <row r="1346" spans="1:16" x14ac:dyDescent="0.25">
      <c r="A1346" s="25"/>
      <c r="N1346">
        <v>3</v>
      </c>
      <c r="O1346" s="8">
        <v>45087</v>
      </c>
      <c r="P1346" s="8">
        <f t="shared" si="29"/>
        <v>45078</v>
      </c>
    </row>
    <row r="1347" spans="1:16" x14ac:dyDescent="0.25">
      <c r="A1347" s="25"/>
      <c r="N1347">
        <v>3</v>
      </c>
      <c r="O1347" s="8">
        <v>45098</v>
      </c>
      <c r="P1347" s="8">
        <f t="shared" ref="P1347:P1410" si="30">DATE(YEAR(O1347),MONTH(O1347),1)</f>
        <v>45078</v>
      </c>
    </row>
    <row r="1348" spans="1:16" x14ac:dyDescent="0.25">
      <c r="A1348" s="25"/>
      <c r="N1348">
        <v>3</v>
      </c>
      <c r="O1348" s="8">
        <v>45104</v>
      </c>
      <c r="P1348" s="8">
        <f t="shared" si="30"/>
        <v>45078</v>
      </c>
    </row>
    <row r="1349" spans="1:16" x14ac:dyDescent="0.25">
      <c r="A1349" s="25"/>
      <c r="N1349">
        <v>3</v>
      </c>
      <c r="O1349" s="8">
        <v>45107</v>
      </c>
      <c r="P1349" s="8">
        <f t="shared" si="30"/>
        <v>45078</v>
      </c>
    </row>
    <row r="1350" spans="1:16" x14ac:dyDescent="0.25">
      <c r="A1350" s="25"/>
      <c r="N1350">
        <v>3</v>
      </c>
      <c r="O1350" s="8">
        <v>45108</v>
      </c>
      <c r="P1350" s="8">
        <f t="shared" si="30"/>
        <v>45108</v>
      </c>
    </row>
    <row r="1351" spans="1:16" x14ac:dyDescent="0.25">
      <c r="A1351" s="25"/>
      <c r="N1351">
        <v>3</v>
      </c>
      <c r="O1351" s="8">
        <v>45109</v>
      </c>
      <c r="P1351" s="8">
        <f t="shared" si="30"/>
        <v>45108</v>
      </c>
    </row>
    <row r="1352" spans="1:16" x14ac:dyDescent="0.25">
      <c r="A1352" s="25"/>
      <c r="N1352">
        <v>3</v>
      </c>
      <c r="O1352" s="8">
        <v>45110</v>
      </c>
      <c r="P1352" s="8">
        <f t="shared" si="30"/>
        <v>45108</v>
      </c>
    </row>
    <row r="1353" spans="1:16" x14ac:dyDescent="0.25">
      <c r="A1353" s="25"/>
      <c r="N1353">
        <v>3</v>
      </c>
      <c r="O1353" s="8">
        <v>45111</v>
      </c>
      <c r="P1353" s="8">
        <f t="shared" si="30"/>
        <v>45108</v>
      </c>
    </row>
    <row r="1354" spans="1:16" x14ac:dyDescent="0.25">
      <c r="A1354" s="25"/>
      <c r="N1354">
        <v>3</v>
      </c>
      <c r="O1354" s="8">
        <v>45113</v>
      </c>
      <c r="P1354" s="8">
        <f t="shared" si="30"/>
        <v>45108</v>
      </c>
    </row>
    <row r="1355" spans="1:16" x14ac:dyDescent="0.25">
      <c r="A1355" s="25"/>
      <c r="N1355">
        <v>3</v>
      </c>
      <c r="O1355" s="8">
        <v>45115</v>
      </c>
      <c r="P1355" s="8">
        <f t="shared" si="30"/>
        <v>45108</v>
      </c>
    </row>
    <row r="1356" spans="1:16" x14ac:dyDescent="0.25">
      <c r="A1356" s="25"/>
      <c r="N1356">
        <v>3</v>
      </c>
      <c r="O1356" s="8">
        <v>45118</v>
      </c>
      <c r="P1356" s="8">
        <f t="shared" si="30"/>
        <v>45108</v>
      </c>
    </row>
    <row r="1357" spans="1:16" x14ac:dyDescent="0.25">
      <c r="A1357" s="25"/>
      <c r="N1357">
        <v>3</v>
      </c>
      <c r="O1357" s="8">
        <v>45119</v>
      </c>
      <c r="P1357" s="8">
        <f t="shared" si="30"/>
        <v>45108</v>
      </c>
    </row>
    <row r="1358" spans="1:16" x14ac:dyDescent="0.25">
      <c r="A1358" s="25"/>
      <c r="N1358">
        <v>3</v>
      </c>
      <c r="O1358" s="8">
        <v>45120</v>
      </c>
      <c r="P1358" s="8">
        <f t="shared" si="30"/>
        <v>45108</v>
      </c>
    </row>
    <row r="1359" spans="1:16" x14ac:dyDescent="0.25">
      <c r="A1359" s="25"/>
      <c r="N1359">
        <v>3</v>
      </c>
      <c r="O1359" s="8">
        <v>45121</v>
      </c>
      <c r="P1359" s="8">
        <f t="shared" si="30"/>
        <v>45108</v>
      </c>
    </row>
    <row r="1360" spans="1:16" x14ac:dyDescent="0.25">
      <c r="A1360" s="25"/>
      <c r="N1360">
        <v>3</v>
      </c>
      <c r="O1360" s="8">
        <v>45122</v>
      </c>
      <c r="P1360" s="8">
        <f t="shared" si="30"/>
        <v>45108</v>
      </c>
    </row>
    <row r="1361" spans="1:16" x14ac:dyDescent="0.25">
      <c r="A1361" s="25"/>
      <c r="N1361">
        <v>3</v>
      </c>
      <c r="O1361" s="8">
        <v>45123</v>
      </c>
      <c r="P1361" s="8">
        <f t="shared" si="30"/>
        <v>45108</v>
      </c>
    </row>
    <row r="1362" spans="1:16" x14ac:dyDescent="0.25">
      <c r="A1362" s="25"/>
      <c r="N1362">
        <v>3</v>
      </c>
      <c r="O1362" s="8">
        <v>45124</v>
      </c>
      <c r="P1362" s="8">
        <f t="shared" si="30"/>
        <v>45108</v>
      </c>
    </row>
    <row r="1363" spans="1:16" x14ac:dyDescent="0.25">
      <c r="A1363" s="25"/>
      <c r="N1363">
        <v>3</v>
      </c>
      <c r="O1363" s="8">
        <v>45125</v>
      </c>
      <c r="P1363" s="8">
        <f t="shared" si="30"/>
        <v>45108</v>
      </c>
    </row>
    <row r="1364" spans="1:16" x14ac:dyDescent="0.25">
      <c r="A1364" s="25"/>
      <c r="N1364">
        <v>3</v>
      </c>
      <c r="O1364" s="8">
        <v>45126</v>
      </c>
      <c r="P1364" s="8">
        <f t="shared" si="30"/>
        <v>45108</v>
      </c>
    </row>
    <row r="1365" spans="1:16" x14ac:dyDescent="0.25">
      <c r="A1365" s="25"/>
      <c r="N1365">
        <v>3</v>
      </c>
      <c r="O1365" s="8">
        <v>45128</v>
      </c>
      <c r="P1365" s="8">
        <f t="shared" si="30"/>
        <v>45108</v>
      </c>
    </row>
    <row r="1366" spans="1:16" x14ac:dyDescent="0.25">
      <c r="A1366" s="25"/>
      <c r="N1366">
        <v>3</v>
      </c>
      <c r="O1366" s="8">
        <v>45140</v>
      </c>
      <c r="P1366" s="8">
        <f t="shared" si="30"/>
        <v>45139</v>
      </c>
    </row>
    <row r="1367" spans="1:16" x14ac:dyDescent="0.25">
      <c r="A1367" s="25"/>
      <c r="N1367">
        <v>3</v>
      </c>
      <c r="O1367" s="8">
        <v>45141</v>
      </c>
      <c r="P1367" s="8">
        <f t="shared" si="30"/>
        <v>45139</v>
      </c>
    </row>
    <row r="1368" spans="1:16" x14ac:dyDescent="0.25">
      <c r="A1368" s="25"/>
      <c r="N1368">
        <v>3</v>
      </c>
      <c r="O1368" s="8">
        <v>45142</v>
      </c>
      <c r="P1368" s="8">
        <f t="shared" si="30"/>
        <v>45139</v>
      </c>
    </row>
    <row r="1369" spans="1:16" x14ac:dyDescent="0.25">
      <c r="A1369" s="25"/>
      <c r="N1369">
        <v>3</v>
      </c>
      <c r="O1369" s="8">
        <v>45143</v>
      </c>
      <c r="P1369" s="8">
        <f t="shared" si="30"/>
        <v>45139</v>
      </c>
    </row>
    <row r="1370" spans="1:16" x14ac:dyDescent="0.25">
      <c r="A1370" s="25"/>
      <c r="N1370">
        <v>3</v>
      </c>
      <c r="O1370" s="8">
        <v>45144</v>
      </c>
      <c r="P1370" s="8">
        <f t="shared" si="30"/>
        <v>45139</v>
      </c>
    </row>
    <row r="1371" spans="1:16" x14ac:dyDescent="0.25">
      <c r="A1371" s="25"/>
      <c r="N1371">
        <v>3</v>
      </c>
      <c r="O1371" s="8">
        <v>45146</v>
      </c>
      <c r="P1371" s="8">
        <f t="shared" si="30"/>
        <v>45139</v>
      </c>
    </row>
    <row r="1372" spans="1:16" x14ac:dyDescent="0.25">
      <c r="A1372" s="25"/>
      <c r="N1372">
        <v>3</v>
      </c>
      <c r="O1372" s="8">
        <v>45147</v>
      </c>
      <c r="P1372" s="8">
        <f t="shared" si="30"/>
        <v>45139</v>
      </c>
    </row>
    <row r="1373" spans="1:16" x14ac:dyDescent="0.25">
      <c r="A1373" s="25"/>
      <c r="N1373">
        <v>3</v>
      </c>
      <c r="O1373" s="8">
        <v>45148</v>
      </c>
      <c r="P1373" s="8">
        <f t="shared" si="30"/>
        <v>45139</v>
      </c>
    </row>
    <row r="1374" spans="1:16" x14ac:dyDescent="0.25">
      <c r="A1374" s="25"/>
      <c r="N1374">
        <v>3</v>
      </c>
      <c r="O1374" s="8">
        <v>45149</v>
      </c>
      <c r="P1374" s="8">
        <f t="shared" si="30"/>
        <v>45139</v>
      </c>
    </row>
    <row r="1375" spans="1:16" x14ac:dyDescent="0.25">
      <c r="A1375" s="25"/>
      <c r="N1375">
        <v>3</v>
      </c>
      <c r="O1375" s="8">
        <v>45150</v>
      </c>
      <c r="P1375" s="8">
        <f t="shared" si="30"/>
        <v>45139</v>
      </c>
    </row>
    <row r="1376" spans="1:16" x14ac:dyDescent="0.25">
      <c r="A1376" s="25"/>
      <c r="N1376">
        <v>3</v>
      </c>
      <c r="O1376" s="8">
        <v>45151</v>
      </c>
      <c r="P1376" s="8">
        <f t="shared" si="30"/>
        <v>45139</v>
      </c>
    </row>
    <row r="1377" spans="1:16" x14ac:dyDescent="0.25">
      <c r="A1377" s="25"/>
      <c r="N1377">
        <v>3</v>
      </c>
      <c r="O1377" s="8">
        <v>45152</v>
      </c>
      <c r="P1377" s="8">
        <f t="shared" si="30"/>
        <v>45139</v>
      </c>
    </row>
    <row r="1378" spans="1:16" x14ac:dyDescent="0.25">
      <c r="A1378" s="25"/>
      <c r="N1378">
        <v>3</v>
      </c>
      <c r="O1378" s="8">
        <v>45153</v>
      </c>
      <c r="P1378" s="8">
        <f t="shared" si="30"/>
        <v>45139</v>
      </c>
    </row>
    <row r="1379" spans="1:16" x14ac:dyDescent="0.25">
      <c r="A1379" s="25"/>
      <c r="N1379">
        <v>3</v>
      </c>
      <c r="O1379" s="8">
        <v>45154</v>
      </c>
      <c r="P1379" s="8">
        <f t="shared" si="30"/>
        <v>45139</v>
      </c>
    </row>
    <row r="1380" spans="1:16" x14ac:dyDescent="0.25">
      <c r="A1380" s="25"/>
      <c r="N1380">
        <v>3</v>
      </c>
      <c r="O1380" s="8">
        <v>45155</v>
      </c>
      <c r="P1380" s="8">
        <f t="shared" si="30"/>
        <v>45139</v>
      </c>
    </row>
    <row r="1381" spans="1:16" x14ac:dyDescent="0.25">
      <c r="A1381" s="25"/>
      <c r="N1381">
        <v>3</v>
      </c>
      <c r="O1381" s="8">
        <v>45156</v>
      </c>
      <c r="P1381" s="8">
        <f t="shared" si="30"/>
        <v>45139</v>
      </c>
    </row>
    <row r="1382" spans="1:16" x14ac:dyDescent="0.25">
      <c r="A1382" s="25"/>
      <c r="N1382">
        <v>3</v>
      </c>
      <c r="O1382" s="8">
        <v>45157</v>
      </c>
      <c r="P1382" s="8">
        <f t="shared" si="30"/>
        <v>45139</v>
      </c>
    </row>
    <row r="1383" spans="1:16" x14ac:dyDescent="0.25">
      <c r="A1383" s="25"/>
      <c r="N1383">
        <v>3</v>
      </c>
      <c r="O1383" s="8">
        <v>45168</v>
      </c>
      <c r="P1383" s="8">
        <f t="shared" si="30"/>
        <v>45139</v>
      </c>
    </row>
    <row r="1384" spans="1:16" x14ac:dyDescent="0.25">
      <c r="A1384" s="25"/>
      <c r="N1384">
        <v>3</v>
      </c>
      <c r="O1384" s="8">
        <v>45169</v>
      </c>
      <c r="P1384" s="8">
        <f t="shared" si="30"/>
        <v>45139</v>
      </c>
    </row>
    <row r="1385" spans="1:16" x14ac:dyDescent="0.25">
      <c r="A1385" s="25"/>
      <c r="N1385">
        <v>3</v>
      </c>
      <c r="O1385" s="8">
        <v>45170</v>
      </c>
      <c r="P1385" s="8">
        <f t="shared" si="30"/>
        <v>45170</v>
      </c>
    </row>
    <row r="1386" spans="1:16" x14ac:dyDescent="0.25">
      <c r="A1386" s="25"/>
      <c r="N1386">
        <v>3</v>
      </c>
      <c r="O1386" s="8">
        <v>45171</v>
      </c>
      <c r="P1386" s="8">
        <f t="shared" si="30"/>
        <v>45170</v>
      </c>
    </row>
    <row r="1387" spans="1:16" x14ac:dyDescent="0.25">
      <c r="A1387" s="25"/>
      <c r="N1387">
        <v>3</v>
      </c>
      <c r="O1387" s="8">
        <v>45172</v>
      </c>
      <c r="P1387" s="8">
        <f t="shared" si="30"/>
        <v>45170</v>
      </c>
    </row>
    <row r="1388" spans="1:16" x14ac:dyDescent="0.25">
      <c r="A1388" s="25"/>
      <c r="N1388">
        <v>3</v>
      </c>
      <c r="O1388" s="8">
        <v>45173</v>
      </c>
      <c r="P1388" s="8">
        <f t="shared" si="30"/>
        <v>45170</v>
      </c>
    </row>
    <row r="1389" spans="1:16" x14ac:dyDescent="0.25">
      <c r="A1389" s="25"/>
      <c r="N1389">
        <v>3</v>
      </c>
      <c r="O1389" s="8">
        <v>45174</v>
      </c>
      <c r="P1389" s="8">
        <f t="shared" si="30"/>
        <v>45170</v>
      </c>
    </row>
    <row r="1390" spans="1:16" x14ac:dyDescent="0.25">
      <c r="A1390" s="25"/>
      <c r="N1390">
        <v>3</v>
      </c>
      <c r="O1390" s="8">
        <v>45280</v>
      </c>
      <c r="P1390" s="8">
        <f t="shared" si="30"/>
        <v>45261</v>
      </c>
    </row>
    <row r="1391" spans="1:16" x14ac:dyDescent="0.25">
      <c r="A1391" s="25"/>
      <c r="N1391">
        <v>3</v>
      </c>
      <c r="O1391" s="8">
        <v>45069</v>
      </c>
      <c r="P1391" s="8">
        <f t="shared" si="30"/>
        <v>45047</v>
      </c>
    </row>
    <row r="1392" spans="1:16" x14ac:dyDescent="0.25">
      <c r="A1392" s="25"/>
      <c r="N1392">
        <v>3</v>
      </c>
      <c r="O1392" s="8">
        <v>45070</v>
      </c>
      <c r="P1392" s="8">
        <f t="shared" si="30"/>
        <v>45047</v>
      </c>
    </row>
    <row r="1393" spans="1:16" x14ac:dyDescent="0.25">
      <c r="A1393" s="25"/>
      <c r="N1393">
        <v>3</v>
      </c>
      <c r="O1393" s="8">
        <v>45077</v>
      </c>
      <c r="P1393" s="8">
        <f t="shared" si="30"/>
        <v>45047</v>
      </c>
    </row>
    <row r="1394" spans="1:16" x14ac:dyDescent="0.25">
      <c r="A1394" s="25"/>
      <c r="N1394">
        <v>3</v>
      </c>
      <c r="O1394" s="8">
        <v>45083</v>
      </c>
      <c r="P1394" s="8">
        <f t="shared" si="30"/>
        <v>45078</v>
      </c>
    </row>
    <row r="1395" spans="1:16" x14ac:dyDescent="0.25">
      <c r="A1395" s="25"/>
      <c r="N1395">
        <v>3</v>
      </c>
      <c r="O1395" s="8">
        <v>45084</v>
      </c>
      <c r="P1395" s="8">
        <f t="shared" si="30"/>
        <v>45078</v>
      </c>
    </row>
    <row r="1396" spans="1:16" x14ac:dyDescent="0.25">
      <c r="A1396" s="25"/>
      <c r="N1396">
        <v>3</v>
      </c>
      <c r="O1396" s="8">
        <v>45086</v>
      </c>
      <c r="P1396" s="8">
        <f t="shared" si="30"/>
        <v>45078</v>
      </c>
    </row>
    <row r="1397" spans="1:16" x14ac:dyDescent="0.25">
      <c r="A1397" s="25"/>
      <c r="N1397">
        <v>3</v>
      </c>
      <c r="O1397" s="8">
        <v>45094</v>
      </c>
      <c r="P1397" s="8">
        <f t="shared" si="30"/>
        <v>45078</v>
      </c>
    </row>
    <row r="1398" spans="1:16" x14ac:dyDescent="0.25">
      <c r="A1398" s="25"/>
      <c r="N1398">
        <v>3</v>
      </c>
      <c r="O1398" s="8">
        <v>45095</v>
      </c>
      <c r="P1398" s="8">
        <f t="shared" si="30"/>
        <v>45078</v>
      </c>
    </row>
    <row r="1399" spans="1:16" x14ac:dyDescent="0.25">
      <c r="A1399" s="25"/>
      <c r="N1399">
        <v>3</v>
      </c>
      <c r="O1399" s="8">
        <v>45096</v>
      </c>
      <c r="P1399" s="8">
        <f t="shared" si="30"/>
        <v>45078</v>
      </c>
    </row>
    <row r="1400" spans="1:16" x14ac:dyDescent="0.25">
      <c r="A1400" s="25"/>
      <c r="N1400">
        <v>3</v>
      </c>
      <c r="O1400" s="8">
        <v>45097</v>
      </c>
      <c r="P1400" s="8">
        <f t="shared" si="30"/>
        <v>45078</v>
      </c>
    </row>
    <row r="1401" spans="1:16" x14ac:dyDescent="0.25">
      <c r="A1401" s="25"/>
      <c r="N1401">
        <v>3</v>
      </c>
      <c r="O1401" s="8">
        <v>45102</v>
      </c>
      <c r="P1401" s="8">
        <f t="shared" si="30"/>
        <v>45078</v>
      </c>
    </row>
    <row r="1402" spans="1:16" x14ac:dyDescent="0.25">
      <c r="A1402" s="25"/>
      <c r="N1402">
        <v>3</v>
      </c>
      <c r="O1402" s="8">
        <v>45179</v>
      </c>
      <c r="P1402" s="8">
        <f t="shared" si="30"/>
        <v>45170</v>
      </c>
    </row>
    <row r="1403" spans="1:16" x14ac:dyDescent="0.25">
      <c r="A1403" s="25"/>
      <c r="N1403">
        <v>3</v>
      </c>
      <c r="O1403" s="8">
        <v>45180</v>
      </c>
      <c r="P1403" s="8">
        <f t="shared" si="30"/>
        <v>45170</v>
      </c>
    </row>
    <row r="1404" spans="1:16" x14ac:dyDescent="0.25">
      <c r="A1404" s="25"/>
      <c r="N1404">
        <v>3</v>
      </c>
      <c r="O1404" s="8">
        <v>45182</v>
      </c>
      <c r="P1404" s="8">
        <f t="shared" si="30"/>
        <v>45170</v>
      </c>
    </row>
    <row r="1405" spans="1:16" x14ac:dyDescent="0.25">
      <c r="A1405" s="25"/>
      <c r="N1405">
        <v>3</v>
      </c>
      <c r="O1405" s="8">
        <v>45183</v>
      </c>
      <c r="P1405" s="8">
        <f t="shared" si="30"/>
        <v>45170</v>
      </c>
    </row>
    <row r="1406" spans="1:16" x14ac:dyDescent="0.25">
      <c r="A1406" s="25"/>
      <c r="N1406">
        <v>3</v>
      </c>
      <c r="O1406" s="8">
        <v>45184</v>
      </c>
      <c r="P1406" s="8">
        <f t="shared" si="30"/>
        <v>45170</v>
      </c>
    </row>
    <row r="1407" spans="1:16" x14ac:dyDescent="0.25">
      <c r="A1407" s="25"/>
      <c r="N1407">
        <v>3</v>
      </c>
      <c r="O1407" s="8">
        <v>45105</v>
      </c>
      <c r="P1407" s="8">
        <f t="shared" si="30"/>
        <v>45078</v>
      </c>
    </row>
    <row r="1408" spans="1:16" x14ac:dyDescent="0.25">
      <c r="A1408" s="25"/>
      <c r="N1408">
        <v>3</v>
      </c>
      <c r="O1408" s="8">
        <v>45106</v>
      </c>
      <c r="P1408" s="8">
        <f t="shared" si="30"/>
        <v>45078</v>
      </c>
    </row>
    <row r="1409" spans="1:16" x14ac:dyDescent="0.25">
      <c r="A1409" s="25"/>
      <c r="N1409">
        <v>3</v>
      </c>
      <c r="O1409" s="8">
        <v>45103</v>
      </c>
      <c r="P1409" s="8">
        <f t="shared" si="30"/>
        <v>45078</v>
      </c>
    </row>
    <row r="1410" spans="1:16" x14ac:dyDescent="0.25">
      <c r="A1410" s="25"/>
      <c r="N1410">
        <v>3</v>
      </c>
      <c r="O1410" s="8">
        <v>45112</v>
      </c>
      <c r="P1410" s="8">
        <f t="shared" si="30"/>
        <v>45108</v>
      </c>
    </row>
    <row r="1411" spans="1:16" x14ac:dyDescent="0.25">
      <c r="A1411" s="25"/>
      <c r="N1411">
        <v>3</v>
      </c>
      <c r="O1411" s="8">
        <v>45116</v>
      </c>
      <c r="P1411" s="8">
        <f t="shared" ref="P1411:P1422" si="31">DATE(YEAR(O1411),MONTH(O1411),1)</f>
        <v>45108</v>
      </c>
    </row>
    <row r="1412" spans="1:16" x14ac:dyDescent="0.25">
      <c r="A1412" s="25"/>
      <c r="N1412">
        <v>3</v>
      </c>
      <c r="O1412" s="8">
        <v>45117</v>
      </c>
      <c r="P1412" s="8">
        <f t="shared" si="31"/>
        <v>45108</v>
      </c>
    </row>
    <row r="1413" spans="1:16" x14ac:dyDescent="0.25">
      <c r="A1413" s="25"/>
      <c r="N1413">
        <v>3</v>
      </c>
      <c r="O1413" s="8">
        <v>45127</v>
      </c>
      <c r="P1413" s="8">
        <f t="shared" si="31"/>
        <v>45108</v>
      </c>
    </row>
    <row r="1414" spans="1:16" x14ac:dyDescent="0.25">
      <c r="A1414" s="25"/>
      <c r="N1414">
        <v>3</v>
      </c>
      <c r="O1414" s="8">
        <v>45131</v>
      </c>
      <c r="P1414" s="8">
        <f t="shared" si="31"/>
        <v>45108</v>
      </c>
    </row>
    <row r="1415" spans="1:16" x14ac:dyDescent="0.25">
      <c r="A1415" s="25"/>
      <c r="N1415">
        <v>3</v>
      </c>
      <c r="O1415" s="8">
        <v>45159</v>
      </c>
      <c r="P1415" s="8">
        <f t="shared" si="31"/>
        <v>45139</v>
      </c>
    </row>
    <row r="1416" spans="1:16" x14ac:dyDescent="0.25">
      <c r="A1416" s="25"/>
      <c r="N1416">
        <v>3</v>
      </c>
      <c r="O1416" s="8">
        <v>45160</v>
      </c>
      <c r="P1416" s="8">
        <f t="shared" si="31"/>
        <v>45139</v>
      </c>
    </row>
    <row r="1417" spans="1:16" x14ac:dyDescent="0.25">
      <c r="A1417" s="25"/>
      <c r="N1417">
        <v>3</v>
      </c>
      <c r="O1417" s="8">
        <v>45162</v>
      </c>
      <c r="P1417" s="8">
        <f t="shared" si="31"/>
        <v>45139</v>
      </c>
    </row>
    <row r="1418" spans="1:16" x14ac:dyDescent="0.25">
      <c r="A1418" s="25"/>
      <c r="N1418">
        <v>3</v>
      </c>
      <c r="O1418" s="8">
        <v>45163</v>
      </c>
      <c r="P1418" s="8">
        <f t="shared" si="31"/>
        <v>45139</v>
      </c>
    </row>
    <row r="1419" spans="1:16" x14ac:dyDescent="0.25">
      <c r="A1419" s="25"/>
      <c r="N1419">
        <v>3</v>
      </c>
      <c r="O1419" s="8">
        <v>45164</v>
      </c>
      <c r="P1419" s="8">
        <f t="shared" si="31"/>
        <v>45139</v>
      </c>
    </row>
    <row r="1420" spans="1:16" x14ac:dyDescent="0.25">
      <c r="A1420" s="25"/>
      <c r="N1420">
        <v>3</v>
      </c>
      <c r="O1420" s="8">
        <v>45165</v>
      </c>
      <c r="P1420" s="8">
        <f t="shared" si="31"/>
        <v>45139</v>
      </c>
    </row>
    <row r="1421" spans="1:16" x14ac:dyDescent="0.25">
      <c r="A1421" s="25"/>
      <c r="N1421">
        <v>3</v>
      </c>
      <c r="O1421" s="8">
        <v>45167</v>
      </c>
      <c r="P1421" s="8">
        <f t="shared" si="31"/>
        <v>45139</v>
      </c>
    </row>
    <row r="1422" spans="1:16" x14ac:dyDescent="0.25">
      <c r="A1422" s="25"/>
      <c r="N1422">
        <v>3</v>
      </c>
      <c r="O1422" s="8">
        <v>45145</v>
      </c>
      <c r="P1422" s="8">
        <f t="shared" si="31"/>
        <v>45139</v>
      </c>
    </row>
    <row r="1423" spans="1:16" x14ac:dyDescent="0.25">
      <c r="A1423" s="25"/>
    </row>
    <row r="1424" spans="1:16" x14ac:dyDescent="0.25">
      <c r="A1424" s="25"/>
      <c r="O1424"/>
    </row>
    <row r="1425" spans="1:15" x14ac:dyDescent="0.25">
      <c r="A1425" s="25"/>
      <c r="O1425"/>
    </row>
    <row r="1426" spans="1:15" x14ac:dyDescent="0.25">
      <c r="A1426" s="25"/>
      <c r="O1426"/>
    </row>
    <row r="1427" spans="1:15" x14ac:dyDescent="0.25">
      <c r="A1427" s="25"/>
      <c r="O1427"/>
    </row>
    <row r="1428" spans="1:15" x14ac:dyDescent="0.25">
      <c r="A1428" s="25"/>
      <c r="O1428"/>
    </row>
    <row r="1429" spans="1:15" x14ac:dyDescent="0.25">
      <c r="A1429" s="25"/>
      <c r="O1429"/>
    </row>
    <row r="1430" spans="1:15" x14ac:dyDescent="0.25">
      <c r="A1430" s="25"/>
      <c r="O1430"/>
    </row>
    <row r="1431" spans="1:15" x14ac:dyDescent="0.25">
      <c r="A1431" s="25"/>
      <c r="O1431"/>
    </row>
    <row r="1432" spans="1:15" x14ac:dyDescent="0.25">
      <c r="A1432" s="25"/>
      <c r="O1432"/>
    </row>
    <row r="1433" spans="1:15" x14ac:dyDescent="0.25">
      <c r="A1433" s="25"/>
      <c r="O1433"/>
    </row>
    <row r="1434" spans="1:15" x14ac:dyDescent="0.25">
      <c r="A1434" s="25"/>
      <c r="O1434"/>
    </row>
    <row r="1435" spans="1:15" x14ac:dyDescent="0.25">
      <c r="A1435" s="25"/>
      <c r="O1435"/>
    </row>
    <row r="1436" spans="1:15" x14ac:dyDescent="0.25">
      <c r="A1436" s="25"/>
      <c r="O1436"/>
    </row>
    <row r="1437" spans="1:15" x14ac:dyDescent="0.25">
      <c r="A1437" s="25"/>
      <c r="O1437"/>
    </row>
    <row r="1438" spans="1:15" x14ac:dyDescent="0.25">
      <c r="A1438" s="25"/>
      <c r="O1438"/>
    </row>
    <row r="1439" spans="1:15" x14ac:dyDescent="0.25">
      <c r="A1439" s="25"/>
      <c r="O1439"/>
    </row>
    <row r="1440" spans="1:15" x14ac:dyDescent="0.25">
      <c r="A1440" s="25"/>
      <c r="O1440"/>
    </row>
    <row r="1441" spans="1:15" x14ac:dyDescent="0.25">
      <c r="A1441" s="25"/>
      <c r="O1441"/>
    </row>
    <row r="1442" spans="1:15" x14ac:dyDescent="0.25">
      <c r="A1442" s="25"/>
      <c r="O1442"/>
    </row>
    <row r="1443" spans="1:15" x14ac:dyDescent="0.25">
      <c r="A1443" s="25"/>
      <c r="O1443"/>
    </row>
    <row r="1444" spans="1:15" x14ac:dyDescent="0.25">
      <c r="A1444" s="25"/>
      <c r="O1444"/>
    </row>
    <row r="1445" spans="1:15" x14ac:dyDescent="0.25">
      <c r="A1445" s="25"/>
      <c r="O1445"/>
    </row>
    <row r="1446" spans="1:15" x14ac:dyDescent="0.25">
      <c r="A1446" s="25"/>
      <c r="O1446"/>
    </row>
    <row r="1447" spans="1:15" x14ac:dyDescent="0.25">
      <c r="A1447" s="25"/>
      <c r="O1447"/>
    </row>
    <row r="1448" spans="1:15" x14ac:dyDescent="0.25">
      <c r="A1448" s="25"/>
      <c r="O1448"/>
    </row>
    <row r="1449" spans="1:15" x14ac:dyDescent="0.25">
      <c r="A1449" s="25"/>
      <c r="O1449"/>
    </row>
    <row r="1450" spans="1:15" x14ac:dyDescent="0.25">
      <c r="A1450" s="25"/>
      <c r="O1450"/>
    </row>
    <row r="1451" spans="1:15" x14ac:dyDescent="0.25">
      <c r="A1451" s="25"/>
      <c r="O1451"/>
    </row>
    <row r="1452" spans="1:15" x14ac:dyDescent="0.25">
      <c r="A1452" s="25"/>
      <c r="O1452"/>
    </row>
    <row r="1453" spans="1:15" x14ac:dyDescent="0.25">
      <c r="A1453" s="25"/>
      <c r="O1453"/>
    </row>
    <row r="1454" spans="1:15" x14ac:dyDescent="0.25">
      <c r="A1454" s="25"/>
      <c r="O1454"/>
    </row>
    <row r="1455" spans="1:15" x14ac:dyDescent="0.25">
      <c r="A1455" s="25"/>
      <c r="O1455"/>
    </row>
    <row r="1456" spans="1:15" x14ac:dyDescent="0.25">
      <c r="A1456" s="25"/>
      <c r="O1456"/>
    </row>
    <row r="1457" spans="1:15" x14ac:dyDescent="0.25">
      <c r="A1457" s="25"/>
      <c r="O1457"/>
    </row>
    <row r="1458" spans="1:15" x14ac:dyDescent="0.25">
      <c r="A1458" s="25"/>
      <c r="O1458"/>
    </row>
    <row r="1459" spans="1:15" x14ac:dyDescent="0.25">
      <c r="A1459" s="25"/>
      <c r="O1459"/>
    </row>
    <row r="1460" spans="1:15" x14ac:dyDescent="0.25">
      <c r="A1460" s="25"/>
      <c r="O1460"/>
    </row>
    <row r="1461" spans="1:15" x14ac:dyDescent="0.25">
      <c r="A1461" s="25"/>
      <c r="O1461"/>
    </row>
    <row r="1462" spans="1:15" x14ac:dyDescent="0.25">
      <c r="A1462" s="25"/>
      <c r="O1462"/>
    </row>
    <row r="1463" spans="1:15" x14ac:dyDescent="0.25">
      <c r="A1463" s="25"/>
      <c r="O1463"/>
    </row>
    <row r="1464" spans="1:15" x14ac:dyDescent="0.25">
      <c r="A1464" s="25"/>
      <c r="O1464"/>
    </row>
    <row r="1465" spans="1:15" x14ac:dyDescent="0.25">
      <c r="A1465" s="25"/>
      <c r="O1465"/>
    </row>
    <row r="1466" spans="1:15" x14ac:dyDescent="0.25">
      <c r="A1466" s="25"/>
      <c r="O1466"/>
    </row>
    <row r="1467" spans="1:15" x14ac:dyDescent="0.25">
      <c r="A1467" s="25"/>
      <c r="O1467"/>
    </row>
    <row r="1468" spans="1:15" x14ac:dyDescent="0.25">
      <c r="A1468" s="25"/>
      <c r="O1468"/>
    </row>
    <row r="1469" spans="1:15" x14ac:dyDescent="0.25">
      <c r="A1469" s="25"/>
      <c r="O1469"/>
    </row>
    <row r="1470" spans="1:15" x14ac:dyDescent="0.25">
      <c r="A1470" s="25"/>
      <c r="O1470"/>
    </row>
    <row r="1471" spans="1:15" x14ac:dyDescent="0.25">
      <c r="A1471" s="25"/>
      <c r="O1471"/>
    </row>
    <row r="1472" spans="1:15" x14ac:dyDescent="0.25">
      <c r="A1472" s="25"/>
      <c r="O1472"/>
    </row>
    <row r="1473" spans="1:15" x14ac:dyDescent="0.25">
      <c r="A1473" s="25"/>
      <c r="O1473"/>
    </row>
    <row r="1474" spans="1:15" x14ac:dyDescent="0.25">
      <c r="A1474" s="25"/>
      <c r="O1474"/>
    </row>
    <row r="1475" spans="1:15" x14ac:dyDescent="0.25">
      <c r="A1475" s="25"/>
      <c r="O1475"/>
    </row>
    <row r="1476" spans="1:15" x14ac:dyDescent="0.25">
      <c r="A1476" s="25"/>
      <c r="O1476"/>
    </row>
    <row r="1477" spans="1:15" x14ac:dyDescent="0.25">
      <c r="A1477" s="25"/>
      <c r="O1477"/>
    </row>
    <row r="1478" spans="1:15" x14ac:dyDescent="0.25">
      <c r="A1478" s="25"/>
      <c r="O1478"/>
    </row>
    <row r="1479" spans="1:15" x14ac:dyDescent="0.25">
      <c r="A1479" s="25"/>
      <c r="O1479"/>
    </row>
    <row r="1480" spans="1:15" x14ac:dyDescent="0.25">
      <c r="A1480" s="25"/>
      <c r="O1480"/>
    </row>
    <row r="1481" spans="1:15" x14ac:dyDescent="0.25">
      <c r="A1481" s="25"/>
      <c r="O1481"/>
    </row>
    <row r="1482" spans="1:15" x14ac:dyDescent="0.25">
      <c r="A1482" s="25"/>
      <c r="O1482"/>
    </row>
    <row r="1483" spans="1:15" x14ac:dyDescent="0.25">
      <c r="A1483" s="25"/>
      <c r="O1483"/>
    </row>
    <row r="1484" spans="1:15" x14ac:dyDescent="0.25">
      <c r="A1484" s="25"/>
      <c r="O1484"/>
    </row>
    <row r="1485" spans="1:15" x14ac:dyDescent="0.25">
      <c r="A1485" s="25"/>
      <c r="O1485"/>
    </row>
    <row r="1486" spans="1:15" x14ac:dyDescent="0.25">
      <c r="A1486" s="25"/>
      <c r="O1486"/>
    </row>
    <row r="1487" spans="1:15" x14ac:dyDescent="0.25">
      <c r="A1487" s="25"/>
      <c r="O1487"/>
    </row>
    <row r="1488" spans="1:15" x14ac:dyDescent="0.25">
      <c r="A1488" s="25"/>
      <c r="O1488"/>
    </row>
    <row r="1489" spans="1:15" x14ac:dyDescent="0.25">
      <c r="A1489" s="25"/>
      <c r="O1489"/>
    </row>
    <row r="1490" spans="1:15" x14ac:dyDescent="0.25">
      <c r="A1490" s="25"/>
      <c r="O1490"/>
    </row>
    <row r="1491" spans="1:15" x14ac:dyDescent="0.25">
      <c r="A1491" s="25"/>
      <c r="O1491"/>
    </row>
    <row r="1492" spans="1:15" x14ac:dyDescent="0.25">
      <c r="A1492" s="25"/>
      <c r="O1492"/>
    </row>
    <row r="1493" spans="1:15" x14ac:dyDescent="0.25">
      <c r="A1493" s="25"/>
      <c r="O1493"/>
    </row>
    <row r="1494" spans="1:15" x14ac:dyDescent="0.25">
      <c r="A1494" s="25"/>
      <c r="O1494"/>
    </row>
    <row r="1495" spans="1:15" x14ac:dyDescent="0.25">
      <c r="A1495" s="25"/>
      <c r="O1495"/>
    </row>
    <row r="1496" spans="1:15" x14ac:dyDescent="0.25">
      <c r="A1496" s="25"/>
      <c r="O1496"/>
    </row>
    <row r="1497" spans="1:15" x14ac:dyDescent="0.25">
      <c r="A1497" s="25"/>
      <c r="O1497"/>
    </row>
    <row r="1498" spans="1:15" x14ac:dyDescent="0.25">
      <c r="A1498" s="25"/>
      <c r="O1498"/>
    </row>
    <row r="1499" spans="1:15" x14ac:dyDescent="0.25">
      <c r="A1499" s="25"/>
      <c r="O1499"/>
    </row>
    <row r="1500" spans="1:15" x14ac:dyDescent="0.25">
      <c r="A1500" s="25"/>
      <c r="O1500"/>
    </row>
    <row r="1501" spans="1:15" x14ac:dyDescent="0.25">
      <c r="A1501" s="25"/>
      <c r="O1501"/>
    </row>
    <row r="1502" spans="1:15" x14ac:dyDescent="0.25">
      <c r="A1502" s="25"/>
      <c r="O1502"/>
    </row>
    <row r="1503" spans="1:15" x14ac:dyDescent="0.25">
      <c r="A1503" s="25"/>
      <c r="O1503"/>
    </row>
    <row r="1504" spans="1:15" x14ac:dyDescent="0.25">
      <c r="A1504" s="25"/>
      <c r="O1504"/>
    </row>
    <row r="1505" spans="1:15" x14ac:dyDescent="0.25">
      <c r="A1505" s="25"/>
      <c r="O1505"/>
    </row>
    <row r="1506" spans="1:15" x14ac:dyDescent="0.25">
      <c r="A1506" s="25"/>
      <c r="O1506"/>
    </row>
    <row r="1507" spans="1:15" x14ac:dyDescent="0.25">
      <c r="A1507" s="25"/>
      <c r="O1507"/>
    </row>
    <row r="1508" spans="1:15" x14ac:dyDescent="0.25">
      <c r="A1508" s="25"/>
      <c r="O1508"/>
    </row>
    <row r="1509" spans="1:15" x14ac:dyDescent="0.25">
      <c r="A1509" s="25"/>
      <c r="O1509"/>
    </row>
    <row r="1510" spans="1:15" x14ac:dyDescent="0.25">
      <c r="A1510" s="25"/>
      <c r="O1510"/>
    </row>
    <row r="1511" spans="1:15" x14ac:dyDescent="0.25">
      <c r="A1511" s="25"/>
      <c r="O1511"/>
    </row>
    <row r="1512" spans="1:15" x14ac:dyDescent="0.25">
      <c r="A1512" s="25"/>
      <c r="O1512"/>
    </row>
    <row r="1513" spans="1:15" x14ac:dyDescent="0.25">
      <c r="A1513" s="25"/>
      <c r="O1513"/>
    </row>
    <row r="1514" spans="1:15" x14ac:dyDescent="0.25">
      <c r="A1514" s="25"/>
      <c r="O1514"/>
    </row>
    <row r="1515" spans="1:15" x14ac:dyDescent="0.25">
      <c r="A1515" s="25"/>
      <c r="O1515"/>
    </row>
    <row r="1516" spans="1:15" x14ac:dyDescent="0.25">
      <c r="A1516" s="25"/>
      <c r="O1516"/>
    </row>
    <row r="1517" spans="1:15" x14ac:dyDescent="0.25">
      <c r="A1517" s="25"/>
      <c r="O1517"/>
    </row>
    <row r="1518" spans="1:15" x14ac:dyDescent="0.25">
      <c r="A1518" s="25"/>
      <c r="O1518"/>
    </row>
    <row r="1519" spans="1:15" x14ac:dyDescent="0.25">
      <c r="A1519" s="25"/>
      <c r="O1519"/>
    </row>
    <row r="1520" spans="1:15" x14ac:dyDescent="0.25">
      <c r="A1520" s="25"/>
      <c r="O1520"/>
    </row>
    <row r="1521" spans="1:15" x14ac:dyDescent="0.25">
      <c r="A1521" s="25"/>
      <c r="O1521"/>
    </row>
    <row r="1522" spans="1:15" x14ac:dyDescent="0.25">
      <c r="A1522" s="25"/>
      <c r="O1522"/>
    </row>
    <row r="1523" spans="1:15" x14ac:dyDescent="0.25">
      <c r="A1523" s="25"/>
      <c r="O1523"/>
    </row>
    <row r="1524" spans="1:15" x14ac:dyDescent="0.25">
      <c r="A1524" s="25"/>
      <c r="O1524"/>
    </row>
    <row r="1525" spans="1:15" x14ac:dyDescent="0.25">
      <c r="A1525" s="25"/>
      <c r="O1525"/>
    </row>
    <row r="1526" spans="1:15" x14ac:dyDescent="0.25">
      <c r="A1526" s="25"/>
      <c r="O1526"/>
    </row>
    <row r="1527" spans="1:15" x14ac:dyDescent="0.25">
      <c r="A1527" s="25"/>
      <c r="O1527"/>
    </row>
    <row r="1528" spans="1:15" x14ac:dyDescent="0.25">
      <c r="A1528" s="25"/>
      <c r="O1528"/>
    </row>
    <row r="1529" spans="1:15" x14ac:dyDescent="0.25">
      <c r="A1529" s="25"/>
      <c r="O1529"/>
    </row>
    <row r="1530" spans="1:15" x14ac:dyDescent="0.25">
      <c r="A1530" s="25"/>
      <c r="O1530"/>
    </row>
    <row r="1531" spans="1:15" x14ac:dyDescent="0.25">
      <c r="A1531" s="25"/>
      <c r="O1531"/>
    </row>
    <row r="1532" spans="1:15" x14ac:dyDescent="0.25">
      <c r="A1532" s="25"/>
      <c r="O1532"/>
    </row>
    <row r="1533" spans="1:15" x14ac:dyDescent="0.25">
      <c r="A1533" s="25"/>
      <c r="O1533"/>
    </row>
    <row r="1534" spans="1:15" x14ac:dyDescent="0.25">
      <c r="A1534" s="25"/>
      <c r="O1534"/>
    </row>
    <row r="1535" spans="1:15" x14ac:dyDescent="0.25">
      <c r="A1535" s="25"/>
      <c r="O1535"/>
    </row>
    <row r="1536" spans="1:15" x14ac:dyDescent="0.25">
      <c r="A1536" s="25"/>
      <c r="O1536"/>
    </row>
    <row r="1537" spans="1:15" x14ac:dyDescent="0.25">
      <c r="A1537" s="25"/>
      <c r="O1537"/>
    </row>
    <row r="1538" spans="1:15" x14ac:dyDescent="0.25">
      <c r="A1538" s="25"/>
      <c r="O1538"/>
    </row>
    <row r="1539" spans="1:15" x14ac:dyDescent="0.25">
      <c r="A1539" s="25"/>
      <c r="O1539"/>
    </row>
    <row r="1540" spans="1:15" x14ac:dyDescent="0.25">
      <c r="A1540" s="25"/>
      <c r="O1540"/>
    </row>
    <row r="1541" spans="1:15" x14ac:dyDescent="0.25">
      <c r="A1541" s="25"/>
      <c r="O1541"/>
    </row>
    <row r="1542" spans="1:15" x14ac:dyDescent="0.25">
      <c r="A1542" s="25"/>
      <c r="O1542"/>
    </row>
    <row r="1543" spans="1:15" x14ac:dyDescent="0.25">
      <c r="A1543" s="25"/>
      <c r="O1543"/>
    </row>
    <row r="1544" spans="1:15" x14ac:dyDescent="0.25">
      <c r="A1544" s="25"/>
      <c r="O1544"/>
    </row>
    <row r="1545" spans="1:15" x14ac:dyDescent="0.25">
      <c r="A1545" s="25"/>
      <c r="O1545"/>
    </row>
    <row r="1546" spans="1:15" x14ac:dyDescent="0.25">
      <c r="A1546" s="25"/>
      <c r="O1546"/>
    </row>
    <row r="1547" spans="1:15" x14ac:dyDescent="0.25">
      <c r="A1547" s="25"/>
      <c r="O1547"/>
    </row>
    <row r="1548" spans="1:15" x14ac:dyDescent="0.25">
      <c r="A1548" s="25"/>
      <c r="O1548"/>
    </row>
    <row r="1549" spans="1:15" x14ac:dyDescent="0.25">
      <c r="A1549" s="25"/>
      <c r="O1549"/>
    </row>
    <row r="1550" spans="1:15" x14ac:dyDescent="0.25">
      <c r="A1550" s="25"/>
      <c r="O1550"/>
    </row>
    <row r="1551" spans="1:15" x14ac:dyDescent="0.25">
      <c r="A1551" s="25"/>
      <c r="O1551"/>
    </row>
    <row r="1552" spans="1:15" x14ac:dyDescent="0.25">
      <c r="A1552" s="25"/>
      <c r="O1552"/>
    </row>
    <row r="1553" spans="1:15" x14ac:dyDescent="0.25">
      <c r="A1553" s="25"/>
      <c r="O1553"/>
    </row>
    <row r="1554" spans="1:15" x14ac:dyDescent="0.25">
      <c r="A1554" s="25"/>
      <c r="O1554"/>
    </row>
    <row r="1555" spans="1:15" x14ac:dyDescent="0.25">
      <c r="A1555" s="25"/>
      <c r="O1555"/>
    </row>
    <row r="1556" spans="1:15" x14ac:dyDescent="0.25">
      <c r="A1556" s="25"/>
      <c r="O1556"/>
    </row>
    <row r="1557" spans="1:15" x14ac:dyDescent="0.25">
      <c r="A1557" s="25"/>
      <c r="O1557"/>
    </row>
    <row r="1558" spans="1:15" x14ac:dyDescent="0.25">
      <c r="A1558" s="25"/>
      <c r="O1558"/>
    </row>
    <row r="1559" spans="1:15" x14ac:dyDescent="0.25">
      <c r="A1559" s="25"/>
      <c r="O1559"/>
    </row>
    <row r="1560" spans="1:15" x14ac:dyDescent="0.25">
      <c r="A1560" s="25"/>
      <c r="O1560"/>
    </row>
    <row r="1561" spans="1:15" x14ac:dyDescent="0.25">
      <c r="A1561" s="25"/>
      <c r="O1561"/>
    </row>
    <row r="1562" spans="1:15" x14ac:dyDescent="0.25">
      <c r="A1562" s="25"/>
      <c r="O1562"/>
    </row>
    <row r="1563" spans="1:15" x14ac:dyDescent="0.25">
      <c r="A1563" s="25"/>
      <c r="O1563"/>
    </row>
    <row r="1564" spans="1:15" x14ac:dyDescent="0.25">
      <c r="A1564" s="25"/>
      <c r="O1564"/>
    </row>
    <row r="1565" spans="1:15" x14ac:dyDescent="0.25">
      <c r="A1565" s="25"/>
      <c r="O1565"/>
    </row>
    <row r="1566" spans="1:15" x14ac:dyDescent="0.25">
      <c r="A1566" s="25"/>
      <c r="O1566"/>
    </row>
    <row r="1567" spans="1:15" x14ac:dyDescent="0.25">
      <c r="A1567" s="25"/>
      <c r="O1567"/>
    </row>
    <row r="1568" spans="1:15" x14ac:dyDescent="0.25">
      <c r="A1568" s="25"/>
      <c r="O1568"/>
    </row>
    <row r="1569" spans="1:15" x14ac:dyDescent="0.25">
      <c r="A1569" s="25"/>
      <c r="O1569"/>
    </row>
    <row r="1570" spans="1:15" x14ac:dyDescent="0.25">
      <c r="A1570" s="25"/>
      <c r="O1570"/>
    </row>
    <row r="1571" spans="1:15" x14ac:dyDescent="0.25">
      <c r="A1571" s="25"/>
      <c r="O1571"/>
    </row>
    <row r="1572" spans="1:15" x14ac:dyDescent="0.25">
      <c r="A1572" s="25"/>
      <c r="O1572"/>
    </row>
    <row r="1573" spans="1:15" x14ac:dyDescent="0.25">
      <c r="A1573" s="25"/>
      <c r="O1573"/>
    </row>
    <row r="1574" spans="1:15" x14ac:dyDescent="0.25">
      <c r="A1574" s="25"/>
      <c r="O1574"/>
    </row>
    <row r="1575" spans="1:15" x14ac:dyDescent="0.25">
      <c r="A1575" s="25"/>
      <c r="O1575"/>
    </row>
    <row r="1576" spans="1:15" x14ac:dyDescent="0.25">
      <c r="A1576" s="25"/>
      <c r="O1576"/>
    </row>
    <row r="1577" spans="1:15" x14ac:dyDescent="0.25">
      <c r="A1577" s="25"/>
      <c r="O1577"/>
    </row>
    <row r="1578" spans="1:15" x14ac:dyDescent="0.25">
      <c r="A1578" s="25"/>
      <c r="O1578"/>
    </row>
    <row r="1579" spans="1:15" x14ac:dyDescent="0.25">
      <c r="A1579" s="25"/>
      <c r="O1579"/>
    </row>
    <row r="1580" spans="1:15" x14ac:dyDescent="0.25">
      <c r="A1580" s="25"/>
      <c r="O1580"/>
    </row>
    <row r="1581" spans="1:15" x14ac:dyDescent="0.25">
      <c r="A1581" s="25"/>
      <c r="O1581"/>
    </row>
    <row r="1582" spans="1:15" x14ac:dyDescent="0.25">
      <c r="A1582" s="25"/>
      <c r="O1582"/>
    </row>
    <row r="1583" spans="1:15" x14ac:dyDescent="0.25">
      <c r="A1583" s="25"/>
      <c r="O1583"/>
    </row>
    <row r="1584" spans="1:15" x14ac:dyDescent="0.25">
      <c r="A1584" s="25"/>
      <c r="O1584"/>
    </row>
    <row r="1585" spans="1:15" x14ac:dyDescent="0.25">
      <c r="A1585" s="25"/>
      <c r="O1585"/>
    </row>
    <row r="1586" spans="1:15" x14ac:dyDescent="0.25">
      <c r="A1586" s="25"/>
      <c r="O1586"/>
    </row>
    <row r="1587" spans="1:15" x14ac:dyDescent="0.25">
      <c r="A1587" s="25"/>
      <c r="O1587"/>
    </row>
    <row r="1588" spans="1:15" x14ac:dyDescent="0.25">
      <c r="A1588" s="25"/>
      <c r="O1588"/>
    </row>
    <row r="1589" spans="1:15" x14ac:dyDescent="0.25">
      <c r="A1589" s="25"/>
      <c r="O1589"/>
    </row>
    <row r="1590" spans="1:15" x14ac:dyDescent="0.25">
      <c r="A1590" s="25"/>
      <c r="O1590"/>
    </row>
    <row r="1591" spans="1:15" x14ac:dyDescent="0.25">
      <c r="A1591" s="25"/>
      <c r="O1591"/>
    </row>
    <row r="1592" spans="1:15" x14ac:dyDescent="0.25">
      <c r="A1592" s="25"/>
      <c r="O1592"/>
    </row>
    <row r="1593" spans="1:15" x14ac:dyDescent="0.25">
      <c r="A1593" s="25"/>
      <c r="O1593"/>
    </row>
    <row r="1594" spans="1:15" x14ac:dyDescent="0.25">
      <c r="A1594" s="25"/>
      <c r="O1594"/>
    </row>
    <row r="1595" spans="1:15" x14ac:dyDescent="0.25">
      <c r="A1595" s="25"/>
      <c r="O1595"/>
    </row>
    <row r="1596" spans="1:15" x14ac:dyDescent="0.25">
      <c r="A1596" s="25"/>
      <c r="O1596"/>
    </row>
    <row r="1597" spans="1:15" x14ac:dyDescent="0.25">
      <c r="A1597" s="25"/>
      <c r="O1597"/>
    </row>
    <row r="1598" spans="1:15" x14ac:dyDescent="0.25">
      <c r="A1598" s="25"/>
      <c r="O1598"/>
    </row>
    <row r="1599" spans="1:15" x14ac:dyDescent="0.25">
      <c r="A1599" s="25"/>
      <c r="O1599"/>
    </row>
    <row r="1600" spans="1:15" x14ac:dyDescent="0.25">
      <c r="A1600" s="25"/>
      <c r="O1600"/>
    </row>
    <row r="1601" spans="1:15" x14ac:dyDescent="0.25">
      <c r="A1601" s="25"/>
      <c r="O1601"/>
    </row>
    <row r="1602" spans="1:15" x14ac:dyDescent="0.25">
      <c r="A1602" s="25"/>
      <c r="O1602"/>
    </row>
    <row r="1603" spans="1:15" x14ac:dyDescent="0.25">
      <c r="A1603" s="25"/>
      <c r="O1603"/>
    </row>
    <row r="1604" spans="1:15" x14ac:dyDescent="0.25">
      <c r="A1604" s="25"/>
      <c r="O1604"/>
    </row>
    <row r="1605" spans="1:15" x14ac:dyDescent="0.25">
      <c r="A1605" s="25"/>
      <c r="O1605"/>
    </row>
    <row r="1606" spans="1:15" x14ac:dyDescent="0.25">
      <c r="A1606" s="25"/>
      <c r="O1606"/>
    </row>
    <row r="1607" spans="1:15" x14ac:dyDescent="0.25">
      <c r="A1607" s="25"/>
      <c r="O1607"/>
    </row>
    <row r="1608" spans="1:15" x14ac:dyDescent="0.25">
      <c r="A1608" s="25"/>
      <c r="O1608"/>
    </row>
    <row r="1609" spans="1:15" x14ac:dyDescent="0.25">
      <c r="A1609" s="25"/>
      <c r="O1609"/>
    </row>
    <row r="1610" spans="1:15" x14ac:dyDescent="0.25">
      <c r="A1610" s="25"/>
      <c r="O1610"/>
    </row>
    <row r="1611" spans="1:15" x14ac:dyDescent="0.25">
      <c r="A1611" s="25"/>
      <c r="O1611"/>
    </row>
    <row r="1612" spans="1:15" x14ac:dyDescent="0.25">
      <c r="A1612" s="25"/>
      <c r="O1612"/>
    </row>
    <row r="1613" spans="1:15" x14ac:dyDescent="0.25">
      <c r="A1613" s="25"/>
      <c r="O1613"/>
    </row>
    <row r="1614" spans="1:15" x14ac:dyDescent="0.25">
      <c r="A1614" s="25"/>
      <c r="O1614"/>
    </row>
    <row r="1615" spans="1:15" x14ac:dyDescent="0.25">
      <c r="A1615" s="25"/>
      <c r="O1615"/>
    </row>
    <row r="1616" spans="1:15" x14ac:dyDescent="0.25">
      <c r="A1616" s="25"/>
      <c r="O1616"/>
    </row>
    <row r="1617" spans="1:15" x14ac:dyDescent="0.25">
      <c r="A1617" s="25"/>
      <c r="O1617"/>
    </row>
    <row r="1618" spans="1:15" x14ac:dyDescent="0.25">
      <c r="A1618" s="25"/>
      <c r="O1618"/>
    </row>
    <row r="1619" spans="1:15" x14ac:dyDescent="0.25">
      <c r="A1619" s="25"/>
      <c r="O1619"/>
    </row>
    <row r="1620" spans="1:15" x14ac:dyDescent="0.25">
      <c r="A1620" s="25"/>
      <c r="O1620"/>
    </row>
    <row r="1621" spans="1:15" x14ac:dyDescent="0.25">
      <c r="A1621" s="25"/>
      <c r="O1621"/>
    </row>
    <row r="1622" spans="1:15" x14ac:dyDescent="0.25">
      <c r="A1622" s="25"/>
      <c r="O1622"/>
    </row>
    <row r="1623" spans="1:15" x14ac:dyDescent="0.25">
      <c r="A1623" s="25"/>
      <c r="O1623"/>
    </row>
    <row r="1624" spans="1:15" x14ac:dyDescent="0.25">
      <c r="A1624" s="25"/>
      <c r="O1624"/>
    </row>
    <row r="1625" spans="1:15" x14ac:dyDescent="0.25">
      <c r="A1625" s="25"/>
      <c r="O1625"/>
    </row>
    <row r="1626" spans="1:15" x14ac:dyDescent="0.25">
      <c r="A1626" s="25"/>
      <c r="O1626"/>
    </row>
    <row r="1627" spans="1:15" x14ac:dyDescent="0.25">
      <c r="A1627" s="25"/>
      <c r="O1627"/>
    </row>
    <row r="1628" spans="1:15" x14ac:dyDescent="0.25">
      <c r="A1628" s="25"/>
      <c r="O1628"/>
    </row>
    <row r="1629" spans="1:15" x14ac:dyDescent="0.25">
      <c r="A1629" s="25"/>
      <c r="O1629"/>
    </row>
    <row r="1630" spans="1:15" x14ac:dyDescent="0.25">
      <c r="A1630" s="25"/>
      <c r="O1630"/>
    </row>
    <row r="1631" spans="1:15" x14ac:dyDescent="0.25">
      <c r="A1631" s="25"/>
      <c r="O1631"/>
    </row>
    <row r="1632" spans="1:15" x14ac:dyDescent="0.25">
      <c r="A1632" s="25"/>
      <c r="O1632"/>
    </row>
    <row r="1633" spans="1:15" x14ac:dyDescent="0.25">
      <c r="A1633" s="25"/>
      <c r="O1633"/>
    </row>
    <row r="1634" spans="1:15" x14ac:dyDescent="0.25">
      <c r="A1634" s="25"/>
      <c r="O1634"/>
    </row>
    <row r="1635" spans="1:15" x14ac:dyDescent="0.25">
      <c r="A1635" s="25"/>
      <c r="O1635"/>
    </row>
    <row r="1636" spans="1:15" x14ac:dyDescent="0.25">
      <c r="A1636" s="25"/>
      <c r="O1636"/>
    </row>
    <row r="1637" spans="1:15" x14ac:dyDescent="0.25">
      <c r="A1637" s="25"/>
      <c r="O1637"/>
    </row>
    <row r="1638" spans="1:15" x14ac:dyDescent="0.25">
      <c r="A1638" s="25"/>
      <c r="O1638"/>
    </row>
    <row r="1639" spans="1:15" x14ac:dyDescent="0.25">
      <c r="A1639" s="25"/>
      <c r="O1639"/>
    </row>
    <row r="1640" spans="1:15" x14ac:dyDescent="0.25">
      <c r="A1640" s="25"/>
      <c r="O1640"/>
    </row>
    <row r="1641" spans="1:15" x14ac:dyDescent="0.25">
      <c r="A1641" s="25"/>
      <c r="O1641"/>
    </row>
    <row r="1642" spans="1:15" x14ac:dyDescent="0.25">
      <c r="A1642" s="25"/>
      <c r="O1642"/>
    </row>
    <row r="1643" spans="1:15" x14ac:dyDescent="0.25">
      <c r="A1643" s="25"/>
      <c r="O1643"/>
    </row>
    <row r="1644" spans="1:15" x14ac:dyDescent="0.25">
      <c r="A1644" s="25"/>
      <c r="O1644"/>
    </row>
    <row r="1645" spans="1:15" x14ac:dyDescent="0.25">
      <c r="A1645" s="25"/>
      <c r="O1645"/>
    </row>
    <row r="1646" spans="1:15" x14ac:dyDescent="0.25">
      <c r="A1646" s="25"/>
      <c r="O1646"/>
    </row>
    <row r="1647" spans="1:15" x14ac:dyDescent="0.25">
      <c r="A1647" s="25"/>
      <c r="O1647"/>
    </row>
    <row r="1648" spans="1:15" x14ac:dyDescent="0.25">
      <c r="A1648" s="25"/>
      <c r="O1648"/>
    </row>
    <row r="1649" spans="1:15" x14ac:dyDescent="0.25">
      <c r="A1649" s="25"/>
      <c r="O1649"/>
    </row>
    <row r="1650" spans="1:15" x14ac:dyDescent="0.25">
      <c r="A1650" s="25"/>
      <c r="O1650"/>
    </row>
    <row r="1651" spans="1:15" x14ac:dyDescent="0.25">
      <c r="A1651" s="25"/>
      <c r="O1651"/>
    </row>
    <row r="1652" spans="1:15" x14ac:dyDescent="0.25">
      <c r="A1652" s="25"/>
      <c r="O1652"/>
    </row>
    <row r="1653" spans="1:15" x14ac:dyDescent="0.25">
      <c r="A1653" s="25"/>
      <c r="O1653"/>
    </row>
    <row r="1654" spans="1:15" x14ac:dyDescent="0.25">
      <c r="A1654" s="25"/>
      <c r="O1654"/>
    </row>
    <row r="1655" spans="1:15" x14ac:dyDescent="0.25">
      <c r="A1655" s="25"/>
      <c r="O1655"/>
    </row>
    <row r="1656" spans="1:15" x14ac:dyDescent="0.25">
      <c r="A1656" s="25"/>
      <c r="O1656"/>
    </row>
    <row r="1657" spans="1:15" x14ac:dyDescent="0.25">
      <c r="A1657" s="25"/>
      <c r="O1657"/>
    </row>
    <row r="1658" spans="1:15" x14ac:dyDescent="0.25">
      <c r="A1658" s="25"/>
      <c r="O1658"/>
    </row>
    <row r="1659" spans="1:15" x14ac:dyDescent="0.25">
      <c r="A1659" s="25"/>
      <c r="O1659"/>
    </row>
    <row r="1660" spans="1:15" x14ac:dyDescent="0.25">
      <c r="A1660" s="25"/>
      <c r="O1660"/>
    </row>
    <row r="1661" spans="1:15" x14ac:dyDescent="0.25">
      <c r="A1661" s="25"/>
      <c r="O1661"/>
    </row>
    <row r="1662" spans="1:15" x14ac:dyDescent="0.25">
      <c r="A1662" s="25"/>
      <c r="O1662"/>
    </row>
    <row r="1663" spans="1:15" x14ac:dyDescent="0.25">
      <c r="A1663" s="25"/>
      <c r="O1663"/>
    </row>
    <row r="1664" spans="1:15" x14ac:dyDescent="0.25">
      <c r="A1664" s="25"/>
      <c r="O1664"/>
    </row>
    <row r="1665" spans="1:15" x14ac:dyDescent="0.25">
      <c r="A1665" s="25"/>
      <c r="O1665"/>
    </row>
    <row r="1666" spans="1:15" x14ac:dyDescent="0.25">
      <c r="A1666" s="25"/>
      <c r="O1666"/>
    </row>
    <row r="1667" spans="1:15" x14ac:dyDescent="0.25">
      <c r="A1667" s="25"/>
      <c r="O1667"/>
    </row>
    <row r="1668" spans="1:15" x14ac:dyDescent="0.25">
      <c r="A1668" s="25"/>
      <c r="O1668"/>
    </row>
    <row r="1669" spans="1:15" x14ac:dyDescent="0.25">
      <c r="A1669" s="25"/>
      <c r="O1669"/>
    </row>
    <row r="1670" spans="1:15" x14ac:dyDescent="0.25">
      <c r="A1670" s="25"/>
      <c r="O1670"/>
    </row>
    <row r="1671" spans="1:15" x14ac:dyDescent="0.25">
      <c r="A1671" s="25"/>
      <c r="O1671"/>
    </row>
    <row r="1672" spans="1:15" x14ac:dyDescent="0.25">
      <c r="A1672" s="25"/>
      <c r="O1672"/>
    </row>
    <row r="1673" spans="1:15" x14ac:dyDescent="0.25">
      <c r="A1673" s="25"/>
      <c r="O1673"/>
    </row>
    <row r="1674" spans="1:15" x14ac:dyDescent="0.25">
      <c r="A1674" s="25"/>
      <c r="O1674"/>
    </row>
    <row r="1675" spans="1:15" x14ac:dyDescent="0.25">
      <c r="A1675" s="25"/>
      <c r="O1675"/>
    </row>
    <row r="1676" spans="1:15" x14ac:dyDescent="0.25">
      <c r="A1676" s="25"/>
      <c r="O1676"/>
    </row>
    <row r="1677" spans="1:15" x14ac:dyDescent="0.25">
      <c r="A1677" s="25"/>
      <c r="O1677"/>
    </row>
    <row r="1678" spans="1:15" x14ac:dyDescent="0.25">
      <c r="A1678" s="25"/>
      <c r="O1678"/>
    </row>
    <row r="1679" spans="1:15" x14ac:dyDescent="0.25">
      <c r="A1679" s="25"/>
      <c r="O1679"/>
    </row>
    <row r="1680" spans="1:15" x14ac:dyDescent="0.25">
      <c r="A1680" s="25"/>
      <c r="O1680"/>
    </row>
    <row r="1681" spans="1:15" x14ac:dyDescent="0.25">
      <c r="A1681" s="25"/>
      <c r="O1681"/>
    </row>
    <row r="1682" spans="1:15" x14ac:dyDescent="0.25">
      <c r="A1682" s="25"/>
      <c r="O1682"/>
    </row>
    <row r="1683" spans="1:15" x14ac:dyDescent="0.25">
      <c r="A1683" s="25"/>
      <c r="O1683"/>
    </row>
    <row r="1684" spans="1:15" x14ac:dyDescent="0.25">
      <c r="A1684" s="25"/>
      <c r="O1684"/>
    </row>
    <row r="1685" spans="1:15" x14ac:dyDescent="0.25">
      <c r="A1685" s="25"/>
      <c r="O1685"/>
    </row>
    <row r="1686" spans="1:15" x14ac:dyDescent="0.25">
      <c r="A1686" s="25"/>
      <c r="O1686"/>
    </row>
    <row r="1687" spans="1:15" x14ac:dyDescent="0.25">
      <c r="A1687" s="25"/>
      <c r="O1687"/>
    </row>
    <row r="1688" spans="1:15" x14ac:dyDescent="0.25">
      <c r="A1688" s="25"/>
      <c r="O1688"/>
    </row>
    <row r="1689" spans="1:15" x14ac:dyDescent="0.25">
      <c r="A1689" s="25"/>
      <c r="O1689"/>
    </row>
    <row r="1690" spans="1:15" x14ac:dyDescent="0.25">
      <c r="A1690" s="25"/>
      <c r="O1690"/>
    </row>
    <row r="1691" spans="1:15" x14ac:dyDescent="0.25">
      <c r="A1691" s="25"/>
      <c r="O1691"/>
    </row>
    <row r="1692" spans="1:15" x14ac:dyDescent="0.25">
      <c r="A1692" s="25"/>
      <c r="O1692"/>
    </row>
    <row r="1693" spans="1:15" x14ac:dyDescent="0.25">
      <c r="A1693" s="25"/>
      <c r="O1693"/>
    </row>
    <row r="1694" spans="1:15" x14ac:dyDescent="0.25">
      <c r="A1694" s="25"/>
      <c r="O1694"/>
    </row>
    <row r="1695" spans="1:15" x14ac:dyDescent="0.25">
      <c r="A1695" s="25"/>
      <c r="O1695"/>
    </row>
    <row r="1696" spans="1:15" x14ac:dyDescent="0.25">
      <c r="A1696" s="25"/>
      <c r="O1696"/>
    </row>
    <row r="1697" spans="1:15" x14ac:dyDescent="0.25">
      <c r="A1697" s="25"/>
      <c r="O1697"/>
    </row>
    <row r="1698" spans="1:15" x14ac:dyDescent="0.25">
      <c r="A1698" s="25"/>
      <c r="O1698"/>
    </row>
    <row r="1699" spans="1:15" x14ac:dyDescent="0.25">
      <c r="A1699" s="25"/>
      <c r="O1699"/>
    </row>
    <row r="1700" spans="1:15" x14ac:dyDescent="0.25">
      <c r="A1700" s="25"/>
      <c r="O1700"/>
    </row>
    <row r="1701" spans="1:15" x14ac:dyDescent="0.25">
      <c r="A1701" s="25"/>
      <c r="O1701"/>
    </row>
    <row r="1702" spans="1:15" x14ac:dyDescent="0.25">
      <c r="A1702" s="25"/>
      <c r="O1702"/>
    </row>
    <row r="1703" spans="1:15" x14ac:dyDescent="0.25">
      <c r="A1703" s="25"/>
      <c r="O1703"/>
    </row>
    <row r="1704" spans="1:15" x14ac:dyDescent="0.25">
      <c r="A1704" s="25"/>
      <c r="O1704"/>
    </row>
    <row r="1705" spans="1:15" x14ac:dyDescent="0.25">
      <c r="A1705" s="25"/>
      <c r="O1705"/>
    </row>
    <row r="1706" spans="1:15" x14ac:dyDescent="0.25">
      <c r="A1706" s="25"/>
      <c r="O1706"/>
    </row>
    <row r="1707" spans="1:15" x14ac:dyDescent="0.25">
      <c r="A1707" s="25"/>
      <c r="O1707"/>
    </row>
    <row r="1708" spans="1:15" x14ac:dyDescent="0.25">
      <c r="A1708" s="25"/>
      <c r="O1708"/>
    </row>
    <row r="1709" spans="1:15" x14ac:dyDescent="0.25">
      <c r="A1709" s="25"/>
      <c r="O1709"/>
    </row>
    <row r="1710" spans="1:15" x14ac:dyDescent="0.25">
      <c r="A1710" s="25"/>
      <c r="O1710"/>
    </row>
    <row r="1711" spans="1:15" x14ac:dyDescent="0.25">
      <c r="A1711" s="25"/>
      <c r="O1711"/>
    </row>
    <row r="1712" spans="1:15" x14ac:dyDescent="0.25">
      <c r="A1712" s="25"/>
      <c r="O1712"/>
    </row>
    <row r="1713" spans="1:15" x14ac:dyDescent="0.25">
      <c r="A1713" s="25"/>
      <c r="O1713"/>
    </row>
    <row r="1714" spans="1:15" x14ac:dyDescent="0.25">
      <c r="A1714" s="25"/>
      <c r="O1714"/>
    </row>
    <row r="1715" spans="1:15" x14ac:dyDescent="0.25">
      <c r="A1715" s="25"/>
      <c r="O1715"/>
    </row>
    <row r="1716" spans="1:15" x14ac:dyDescent="0.25">
      <c r="A1716" s="25"/>
      <c r="O1716"/>
    </row>
    <row r="1717" spans="1:15" x14ac:dyDescent="0.25">
      <c r="A1717" s="25"/>
      <c r="O1717"/>
    </row>
    <row r="1718" spans="1:15" x14ac:dyDescent="0.25">
      <c r="A1718" s="25"/>
      <c r="O1718"/>
    </row>
    <row r="1719" spans="1:15" x14ac:dyDescent="0.25">
      <c r="A1719" s="25"/>
      <c r="O1719"/>
    </row>
    <row r="1720" spans="1:15" x14ac:dyDescent="0.25">
      <c r="A1720" s="25"/>
      <c r="O1720"/>
    </row>
    <row r="1721" spans="1:15" x14ac:dyDescent="0.25">
      <c r="A1721" s="25"/>
      <c r="O1721"/>
    </row>
    <row r="1722" spans="1:15" x14ac:dyDescent="0.25">
      <c r="A1722" s="25"/>
      <c r="O1722"/>
    </row>
    <row r="1723" spans="1:15" x14ac:dyDescent="0.25">
      <c r="A1723" s="25"/>
      <c r="O1723"/>
    </row>
    <row r="1724" spans="1:15" x14ac:dyDescent="0.25">
      <c r="A1724" s="25"/>
      <c r="O1724"/>
    </row>
    <row r="1725" spans="1:15" x14ac:dyDescent="0.25">
      <c r="A1725" s="25"/>
      <c r="O1725"/>
    </row>
    <row r="1726" spans="1:15" x14ac:dyDescent="0.25">
      <c r="A1726" s="25"/>
      <c r="O1726"/>
    </row>
    <row r="1727" spans="1:15" x14ac:dyDescent="0.25">
      <c r="A1727" s="25"/>
      <c r="O1727"/>
    </row>
    <row r="1728" spans="1:15" x14ac:dyDescent="0.25">
      <c r="A1728" s="25"/>
      <c r="O1728"/>
    </row>
    <row r="1729" spans="1:15" x14ac:dyDescent="0.25">
      <c r="A1729" s="25"/>
      <c r="O1729"/>
    </row>
    <row r="1730" spans="1:15" x14ac:dyDescent="0.25">
      <c r="A1730" s="25"/>
      <c r="O1730"/>
    </row>
    <row r="1731" spans="1:15" x14ac:dyDescent="0.25">
      <c r="A1731" s="25"/>
      <c r="O1731"/>
    </row>
    <row r="1732" spans="1:15" x14ac:dyDescent="0.25">
      <c r="A1732" s="25"/>
      <c r="O1732"/>
    </row>
    <row r="1733" spans="1:15" x14ac:dyDescent="0.25">
      <c r="A1733" s="25"/>
      <c r="O1733"/>
    </row>
    <row r="1734" spans="1:15" x14ac:dyDescent="0.25">
      <c r="A1734" s="25"/>
      <c r="O1734"/>
    </row>
    <row r="1735" spans="1:15" x14ac:dyDescent="0.25">
      <c r="A1735" s="25"/>
      <c r="O1735"/>
    </row>
    <row r="1736" spans="1:15" x14ac:dyDescent="0.25">
      <c r="A1736" s="25"/>
      <c r="O1736"/>
    </row>
    <row r="1737" spans="1:15" x14ac:dyDescent="0.25">
      <c r="A1737" s="25"/>
      <c r="O1737"/>
    </row>
    <row r="1738" spans="1:15" x14ac:dyDescent="0.25">
      <c r="A1738" s="25"/>
      <c r="O1738"/>
    </row>
    <row r="1739" spans="1:15" x14ac:dyDescent="0.25">
      <c r="A1739" s="25"/>
      <c r="O1739"/>
    </row>
    <row r="1740" spans="1:15" x14ac:dyDescent="0.25">
      <c r="A1740" s="25"/>
      <c r="O1740"/>
    </row>
    <row r="1741" spans="1:15" x14ac:dyDescent="0.25">
      <c r="A1741" s="25"/>
      <c r="O1741"/>
    </row>
    <row r="1742" spans="1:15" x14ac:dyDescent="0.25">
      <c r="A1742" s="25"/>
      <c r="O1742"/>
    </row>
    <row r="1743" spans="1:15" x14ac:dyDescent="0.25">
      <c r="A1743" s="25"/>
      <c r="O1743"/>
    </row>
    <row r="1744" spans="1:15" x14ac:dyDescent="0.25">
      <c r="A1744" s="25"/>
      <c r="O1744"/>
    </row>
    <row r="1745" spans="1:15" x14ac:dyDescent="0.25">
      <c r="A1745" s="25"/>
      <c r="O1745"/>
    </row>
    <row r="1746" spans="1:15" x14ac:dyDescent="0.25">
      <c r="A1746" s="25"/>
      <c r="O1746"/>
    </row>
    <row r="1747" spans="1:15" x14ac:dyDescent="0.25">
      <c r="A1747" s="25"/>
      <c r="O1747"/>
    </row>
    <row r="1748" spans="1:15" x14ac:dyDescent="0.25">
      <c r="A1748" s="25"/>
      <c r="O1748"/>
    </row>
    <row r="1749" spans="1:15" x14ac:dyDescent="0.25">
      <c r="A1749" s="25"/>
      <c r="O1749"/>
    </row>
    <row r="1750" spans="1:15" x14ac:dyDescent="0.25">
      <c r="A1750" s="25"/>
      <c r="O1750"/>
    </row>
    <row r="1751" spans="1:15" x14ac:dyDescent="0.25">
      <c r="A1751" s="25"/>
      <c r="O1751"/>
    </row>
    <row r="1752" spans="1:15" x14ac:dyDescent="0.25">
      <c r="A1752" s="25"/>
      <c r="O1752"/>
    </row>
    <row r="1753" spans="1:15" x14ac:dyDescent="0.25">
      <c r="A1753" s="25"/>
      <c r="O1753"/>
    </row>
    <row r="1754" spans="1:15" x14ac:dyDescent="0.25">
      <c r="A1754" s="25"/>
      <c r="O1754"/>
    </row>
    <row r="1755" spans="1:15" x14ac:dyDescent="0.25">
      <c r="A1755" s="25"/>
      <c r="O1755"/>
    </row>
    <row r="1756" spans="1:15" x14ac:dyDescent="0.25">
      <c r="A1756" s="25"/>
      <c r="O1756"/>
    </row>
    <row r="1757" spans="1:15" x14ac:dyDescent="0.25">
      <c r="A1757" s="25"/>
      <c r="O1757"/>
    </row>
    <row r="1758" spans="1:15" x14ac:dyDescent="0.25">
      <c r="A1758" s="25"/>
      <c r="O1758"/>
    </row>
    <row r="1759" spans="1:15" x14ac:dyDescent="0.25">
      <c r="A1759" s="25"/>
      <c r="O1759"/>
    </row>
    <row r="1760" spans="1:15" x14ac:dyDescent="0.25">
      <c r="A1760" s="25"/>
      <c r="O1760"/>
    </row>
    <row r="1761" spans="1:15" x14ac:dyDescent="0.25">
      <c r="A1761" s="25"/>
      <c r="O1761"/>
    </row>
    <row r="1762" spans="1:15" x14ac:dyDescent="0.25">
      <c r="A1762" s="25"/>
      <c r="O1762"/>
    </row>
    <row r="1763" spans="1:15" x14ac:dyDescent="0.25">
      <c r="A1763" s="25"/>
      <c r="O1763"/>
    </row>
    <row r="1764" spans="1:15" x14ac:dyDescent="0.25">
      <c r="A1764" s="25"/>
      <c r="O1764"/>
    </row>
    <row r="1765" spans="1:15" x14ac:dyDescent="0.25">
      <c r="A1765" s="25"/>
      <c r="O1765"/>
    </row>
    <row r="1766" spans="1:15" x14ac:dyDescent="0.25">
      <c r="A1766" s="25"/>
      <c r="O1766"/>
    </row>
    <row r="1767" spans="1:15" x14ac:dyDescent="0.25">
      <c r="A1767" s="25"/>
      <c r="O1767"/>
    </row>
    <row r="1768" spans="1:15" x14ac:dyDescent="0.25">
      <c r="A1768" s="25"/>
      <c r="O1768"/>
    </row>
    <row r="1769" spans="1:15" x14ac:dyDescent="0.25">
      <c r="A1769" s="25"/>
      <c r="O1769"/>
    </row>
    <row r="1770" spans="1:15" x14ac:dyDescent="0.25">
      <c r="A1770" s="25"/>
      <c r="O1770"/>
    </row>
    <row r="1771" spans="1:15" x14ac:dyDescent="0.25">
      <c r="A1771" s="25"/>
      <c r="O1771"/>
    </row>
    <row r="1772" spans="1:15" x14ac:dyDescent="0.25">
      <c r="A1772" s="25"/>
      <c r="O1772"/>
    </row>
    <row r="1773" spans="1:15" x14ac:dyDescent="0.25">
      <c r="A1773" s="25"/>
      <c r="O1773"/>
    </row>
    <row r="1774" spans="1:15" x14ac:dyDescent="0.25">
      <c r="A1774" s="25"/>
      <c r="O1774"/>
    </row>
    <row r="1775" spans="1:15" x14ac:dyDescent="0.25">
      <c r="A1775" s="25"/>
      <c r="O1775"/>
    </row>
    <row r="1776" spans="1:15" x14ac:dyDescent="0.25">
      <c r="A1776" s="25"/>
      <c r="O1776"/>
    </row>
    <row r="1777" spans="1:15" x14ac:dyDescent="0.25">
      <c r="A1777" s="25"/>
      <c r="O1777"/>
    </row>
    <row r="1778" spans="1:15" x14ac:dyDescent="0.25">
      <c r="A1778" s="25"/>
      <c r="O1778"/>
    </row>
    <row r="1779" spans="1:15" x14ac:dyDescent="0.25">
      <c r="A1779" s="25"/>
      <c r="O1779"/>
    </row>
    <row r="1780" spans="1:15" x14ac:dyDescent="0.25">
      <c r="A1780" s="25"/>
      <c r="O1780"/>
    </row>
    <row r="1781" spans="1:15" x14ac:dyDescent="0.25">
      <c r="A1781" s="25"/>
      <c r="O1781"/>
    </row>
    <row r="1782" spans="1:15" x14ac:dyDescent="0.25">
      <c r="A1782" s="25"/>
      <c r="O1782"/>
    </row>
    <row r="1783" spans="1:15" x14ac:dyDescent="0.25">
      <c r="A1783" s="25"/>
      <c r="O1783"/>
    </row>
    <row r="1784" spans="1:15" x14ac:dyDescent="0.25">
      <c r="A1784" s="25"/>
      <c r="O1784"/>
    </row>
    <row r="1785" spans="1:15" x14ac:dyDescent="0.25">
      <c r="A1785" s="25"/>
      <c r="O1785"/>
    </row>
    <row r="1786" spans="1:15" x14ac:dyDescent="0.25">
      <c r="A1786" s="25"/>
      <c r="O1786"/>
    </row>
    <row r="1787" spans="1:15" x14ac:dyDescent="0.25">
      <c r="A1787" s="25"/>
      <c r="O1787"/>
    </row>
    <row r="1788" spans="1:15" x14ac:dyDescent="0.25">
      <c r="A1788" s="25"/>
      <c r="O1788"/>
    </row>
    <row r="1789" spans="1:15" x14ac:dyDescent="0.25">
      <c r="A1789" s="25"/>
      <c r="O1789"/>
    </row>
    <row r="1790" spans="1:15" x14ac:dyDescent="0.25">
      <c r="A1790" s="25"/>
      <c r="O1790"/>
    </row>
    <row r="1791" spans="1:15" x14ac:dyDescent="0.25">
      <c r="A1791" s="25"/>
      <c r="O1791"/>
    </row>
    <row r="1792" spans="1:15" x14ac:dyDescent="0.25">
      <c r="A1792" s="25"/>
      <c r="O1792"/>
    </row>
    <row r="1793" spans="1:15" x14ac:dyDescent="0.25">
      <c r="A1793" s="25"/>
      <c r="O1793"/>
    </row>
    <row r="1794" spans="1:15" x14ac:dyDescent="0.25">
      <c r="A1794" s="25"/>
      <c r="O1794"/>
    </row>
    <row r="1795" spans="1:15" x14ac:dyDescent="0.25">
      <c r="A1795" s="25"/>
      <c r="O1795"/>
    </row>
    <row r="1796" spans="1:15" x14ac:dyDescent="0.25">
      <c r="A1796" s="25"/>
      <c r="O1796"/>
    </row>
    <row r="1797" spans="1:15" x14ac:dyDescent="0.25">
      <c r="A1797" s="25"/>
      <c r="O1797"/>
    </row>
    <row r="1798" spans="1:15" x14ac:dyDescent="0.25">
      <c r="A1798" s="25"/>
      <c r="O1798"/>
    </row>
    <row r="1799" spans="1:15" x14ac:dyDescent="0.25">
      <c r="A1799" s="25"/>
      <c r="O1799"/>
    </row>
    <row r="1800" spans="1:15" x14ac:dyDescent="0.25">
      <c r="A1800" s="25"/>
      <c r="O1800"/>
    </row>
    <row r="1801" spans="1:15" x14ac:dyDescent="0.25">
      <c r="A1801" s="25"/>
      <c r="O1801"/>
    </row>
    <row r="1802" spans="1:15" x14ac:dyDescent="0.25">
      <c r="A1802" s="25"/>
      <c r="O1802"/>
    </row>
    <row r="1803" spans="1:15" x14ac:dyDescent="0.25">
      <c r="A1803" s="25"/>
      <c r="O1803"/>
    </row>
    <row r="1804" spans="1:15" x14ac:dyDescent="0.25">
      <c r="A1804" s="25"/>
      <c r="O1804"/>
    </row>
    <row r="1805" spans="1:15" x14ac:dyDescent="0.25">
      <c r="A1805" s="25"/>
      <c r="O1805"/>
    </row>
    <row r="1806" spans="1:15" x14ac:dyDescent="0.25">
      <c r="A1806" s="25"/>
      <c r="O1806"/>
    </row>
    <row r="1807" spans="1:15" x14ac:dyDescent="0.25">
      <c r="A1807" s="25"/>
      <c r="O1807"/>
    </row>
    <row r="1808" spans="1:15" x14ac:dyDescent="0.25">
      <c r="A1808" s="25"/>
      <c r="O1808"/>
    </row>
    <row r="1809" spans="1:15" x14ac:dyDescent="0.25">
      <c r="A1809" s="25"/>
      <c r="O1809"/>
    </row>
    <row r="1810" spans="1:15" x14ac:dyDescent="0.25">
      <c r="A1810" s="25"/>
      <c r="O1810"/>
    </row>
    <row r="1811" spans="1:15" x14ac:dyDescent="0.25">
      <c r="A1811" s="25"/>
      <c r="O1811"/>
    </row>
    <row r="1812" spans="1:15" x14ac:dyDescent="0.25">
      <c r="A1812" s="25"/>
      <c r="O1812"/>
    </row>
    <row r="1813" spans="1:15" x14ac:dyDescent="0.25">
      <c r="A1813" s="25"/>
      <c r="O1813"/>
    </row>
    <row r="1814" spans="1:15" x14ac:dyDescent="0.25">
      <c r="A1814" s="25"/>
      <c r="O1814"/>
    </row>
    <row r="1815" spans="1:15" x14ac:dyDescent="0.25">
      <c r="A1815" s="25"/>
      <c r="O1815"/>
    </row>
    <row r="1816" spans="1:15" x14ac:dyDescent="0.25">
      <c r="A1816" s="25"/>
      <c r="O1816"/>
    </row>
    <row r="1817" spans="1:15" x14ac:dyDescent="0.25">
      <c r="A1817" s="25"/>
      <c r="O1817"/>
    </row>
    <row r="1818" spans="1:15" x14ac:dyDescent="0.25">
      <c r="A1818" s="25"/>
      <c r="O1818"/>
    </row>
    <row r="1819" spans="1:15" x14ac:dyDescent="0.25">
      <c r="A1819" s="25"/>
      <c r="O1819"/>
    </row>
    <row r="1820" spans="1:15" x14ac:dyDescent="0.25">
      <c r="A1820" s="25"/>
      <c r="O1820"/>
    </row>
    <row r="1821" spans="1:15" x14ac:dyDescent="0.25">
      <c r="A1821" s="25"/>
      <c r="O1821"/>
    </row>
    <row r="1822" spans="1:15" x14ac:dyDescent="0.25">
      <c r="A1822" s="25"/>
      <c r="O1822"/>
    </row>
    <row r="1823" spans="1:15" x14ac:dyDescent="0.25">
      <c r="A1823" s="25"/>
      <c r="O1823"/>
    </row>
    <row r="1824" spans="1:15" x14ac:dyDescent="0.25">
      <c r="A1824" s="25"/>
      <c r="O1824"/>
    </row>
    <row r="1825" spans="1:15" x14ac:dyDescent="0.25">
      <c r="A1825" s="25"/>
      <c r="O1825"/>
    </row>
    <row r="1826" spans="1:15" x14ac:dyDescent="0.25">
      <c r="A1826" s="25"/>
      <c r="O1826"/>
    </row>
    <row r="1827" spans="1:15" x14ac:dyDescent="0.25">
      <c r="A1827" s="25"/>
      <c r="O1827"/>
    </row>
    <row r="1828" spans="1:15" x14ac:dyDescent="0.25">
      <c r="A1828" s="25"/>
      <c r="O1828"/>
    </row>
    <row r="1829" spans="1:15" x14ac:dyDescent="0.25">
      <c r="A1829" s="25"/>
      <c r="O1829"/>
    </row>
    <row r="1830" spans="1:15" x14ac:dyDescent="0.25">
      <c r="A1830" s="25"/>
      <c r="O1830"/>
    </row>
    <row r="1831" spans="1:15" x14ac:dyDescent="0.25">
      <c r="A1831" s="25"/>
      <c r="O1831"/>
    </row>
    <row r="1832" spans="1:15" x14ac:dyDescent="0.25">
      <c r="A1832" s="25"/>
      <c r="O1832"/>
    </row>
    <row r="1833" spans="1:15" x14ac:dyDescent="0.25">
      <c r="A1833" s="25"/>
      <c r="O1833"/>
    </row>
    <row r="1834" spans="1:15" x14ac:dyDescent="0.25">
      <c r="A1834" s="25"/>
      <c r="O1834"/>
    </row>
    <row r="1835" spans="1:15" x14ac:dyDescent="0.25">
      <c r="A1835" s="25"/>
      <c r="O1835"/>
    </row>
    <row r="1836" spans="1:15" x14ac:dyDescent="0.25">
      <c r="A1836" s="25"/>
      <c r="O1836"/>
    </row>
    <row r="1837" spans="1:15" x14ac:dyDescent="0.25">
      <c r="A1837" s="25"/>
      <c r="O1837"/>
    </row>
    <row r="1838" spans="1:15" x14ac:dyDescent="0.25">
      <c r="A1838" s="25"/>
      <c r="O1838"/>
    </row>
    <row r="1839" spans="1:15" x14ac:dyDescent="0.25">
      <c r="A1839" s="25"/>
      <c r="O1839"/>
    </row>
    <row r="1840" spans="1:15" x14ac:dyDescent="0.25">
      <c r="A1840" s="25"/>
      <c r="O1840"/>
    </row>
    <row r="1841" spans="1:15" x14ac:dyDescent="0.25">
      <c r="A1841" s="25"/>
      <c r="O1841"/>
    </row>
    <row r="1842" spans="1:15" x14ac:dyDescent="0.25">
      <c r="A1842" s="25"/>
      <c r="O1842"/>
    </row>
    <row r="1843" spans="1:15" x14ac:dyDescent="0.25">
      <c r="A1843" s="25"/>
      <c r="O1843"/>
    </row>
    <row r="1844" spans="1:15" x14ac:dyDescent="0.25">
      <c r="A1844" s="25"/>
      <c r="O1844"/>
    </row>
    <row r="1845" spans="1:15" x14ac:dyDescent="0.25">
      <c r="A1845" s="25"/>
      <c r="O1845"/>
    </row>
    <row r="1846" spans="1:15" x14ac:dyDescent="0.25">
      <c r="A1846" s="25"/>
      <c r="O1846"/>
    </row>
    <row r="1847" spans="1:15" x14ac:dyDescent="0.25">
      <c r="A1847" s="25"/>
      <c r="O1847"/>
    </row>
    <row r="1848" spans="1:15" x14ac:dyDescent="0.25">
      <c r="A1848" s="25"/>
      <c r="O1848"/>
    </row>
    <row r="1849" spans="1:15" x14ac:dyDescent="0.25">
      <c r="A1849" s="25"/>
      <c r="O1849"/>
    </row>
    <row r="1850" spans="1:15" x14ac:dyDescent="0.25">
      <c r="A1850" s="25"/>
      <c r="O1850"/>
    </row>
    <row r="1851" spans="1:15" x14ac:dyDescent="0.25">
      <c r="A1851" s="25"/>
      <c r="O1851"/>
    </row>
    <row r="1852" spans="1:15" x14ac:dyDescent="0.25">
      <c r="A1852" s="25"/>
      <c r="O1852"/>
    </row>
    <row r="1853" spans="1:15" x14ac:dyDescent="0.25">
      <c r="A1853" s="25"/>
      <c r="O1853"/>
    </row>
    <row r="1854" spans="1:15" x14ac:dyDescent="0.25">
      <c r="A1854" s="25"/>
      <c r="O1854"/>
    </row>
    <row r="1855" spans="1:15" x14ac:dyDescent="0.25">
      <c r="A1855" s="25"/>
      <c r="O1855"/>
    </row>
    <row r="1856" spans="1:15" x14ac:dyDescent="0.25">
      <c r="A1856" s="25"/>
      <c r="O1856"/>
    </row>
    <row r="1857" spans="1:15" x14ac:dyDescent="0.25">
      <c r="A1857" s="25"/>
      <c r="O1857"/>
    </row>
    <row r="1858" spans="1:15" x14ac:dyDescent="0.25">
      <c r="A1858" s="25"/>
      <c r="O1858"/>
    </row>
    <row r="1859" spans="1:15" x14ac:dyDescent="0.25">
      <c r="A1859" s="25"/>
      <c r="O1859"/>
    </row>
    <row r="1860" spans="1:15" x14ac:dyDescent="0.25">
      <c r="A1860" s="25"/>
      <c r="O1860"/>
    </row>
    <row r="1861" spans="1:15" x14ac:dyDescent="0.25">
      <c r="A1861" s="25"/>
      <c r="O1861"/>
    </row>
    <row r="1862" spans="1:15" x14ac:dyDescent="0.25">
      <c r="A1862" s="25"/>
      <c r="O1862"/>
    </row>
    <row r="1863" spans="1:15" x14ac:dyDescent="0.25">
      <c r="A1863" s="25"/>
      <c r="O1863"/>
    </row>
    <row r="1864" spans="1:15" x14ac:dyDescent="0.25">
      <c r="A1864" s="25"/>
      <c r="O1864"/>
    </row>
    <row r="1865" spans="1:15" x14ac:dyDescent="0.25">
      <c r="A1865" s="25"/>
      <c r="O1865"/>
    </row>
    <row r="1866" spans="1:15" x14ac:dyDescent="0.25">
      <c r="A1866" s="25"/>
      <c r="O1866"/>
    </row>
    <row r="1867" spans="1:15" x14ac:dyDescent="0.25">
      <c r="A1867" s="25"/>
      <c r="O1867"/>
    </row>
    <row r="1868" spans="1:15" x14ac:dyDescent="0.25">
      <c r="A1868" s="25"/>
      <c r="O1868"/>
    </row>
    <row r="1869" spans="1:15" x14ac:dyDescent="0.25">
      <c r="A1869" s="25"/>
      <c r="O1869"/>
    </row>
    <row r="1870" spans="1:15" x14ac:dyDescent="0.25">
      <c r="A1870" s="25"/>
      <c r="O1870"/>
    </row>
    <row r="1871" spans="1:15" x14ac:dyDescent="0.25">
      <c r="A1871" s="25"/>
      <c r="O1871"/>
    </row>
    <row r="1872" spans="1:15" x14ac:dyDescent="0.25">
      <c r="A1872" s="25"/>
      <c r="O1872"/>
    </row>
    <row r="1873" spans="1:15" x14ac:dyDescent="0.25">
      <c r="A1873" s="25"/>
      <c r="O1873"/>
    </row>
    <row r="1874" spans="1:15" x14ac:dyDescent="0.25">
      <c r="A1874" s="25"/>
      <c r="O1874"/>
    </row>
    <row r="1875" spans="1:15" x14ac:dyDescent="0.25">
      <c r="A1875" s="25"/>
      <c r="O1875"/>
    </row>
    <row r="1876" spans="1:15" x14ac:dyDescent="0.25">
      <c r="A1876" s="25"/>
      <c r="O1876"/>
    </row>
    <row r="1877" spans="1:15" x14ac:dyDescent="0.25">
      <c r="A1877" s="25"/>
      <c r="O1877"/>
    </row>
    <row r="1878" spans="1:15" x14ac:dyDescent="0.25">
      <c r="A1878" s="25"/>
      <c r="O1878"/>
    </row>
    <row r="1879" spans="1:15" x14ac:dyDescent="0.25">
      <c r="A1879" s="25"/>
      <c r="O1879"/>
    </row>
    <row r="1880" spans="1:15" x14ac:dyDescent="0.25">
      <c r="A1880" s="25"/>
      <c r="O1880"/>
    </row>
    <row r="1881" spans="1:15" x14ac:dyDescent="0.25">
      <c r="A1881" s="25"/>
      <c r="O1881"/>
    </row>
    <row r="1882" spans="1:15" x14ac:dyDescent="0.25">
      <c r="A1882" s="25"/>
      <c r="O1882"/>
    </row>
    <row r="1883" spans="1:15" x14ac:dyDescent="0.25">
      <c r="A1883" s="25"/>
      <c r="O1883"/>
    </row>
    <row r="1884" spans="1:15" x14ac:dyDescent="0.25">
      <c r="A1884" s="25"/>
      <c r="O1884"/>
    </row>
    <row r="1885" spans="1:15" x14ac:dyDescent="0.25">
      <c r="A1885" s="25"/>
      <c r="O1885"/>
    </row>
    <row r="1886" spans="1:15" x14ac:dyDescent="0.25">
      <c r="A1886" s="25"/>
      <c r="O1886"/>
    </row>
    <row r="1887" spans="1:15" x14ac:dyDescent="0.25">
      <c r="A1887" s="25"/>
      <c r="O1887"/>
    </row>
    <row r="1888" spans="1:15" x14ac:dyDescent="0.25">
      <c r="A1888" s="25"/>
      <c r="O1888"/>
    </row>
    <row r="1889" spans="1:15" x14ac:dyDescent="0.25">
      <c r="A1889" s="25"/>
      <c r="O1889"/>
    </row>
    <row r="1890" spans="1:15" x14ac:dyDescent="0.25">
      <c r="A1890" s="25"/>
      <c r="O1890"/>
    </row>
    <row r="1891" spans="1:15" x14ac:dyDescent="0.25">
      <c r="A1891" s="25"/>
      <c r="O1891"/>
    </row>
    <row r="1892" spans="1:15" x14ac:dyDescent="0.25">
      <c r="A1892" s="25"/>
      <c r="O1892"/>
    </row>
    <row r="1893" spans="1:15" x14ac:dyDescent="0.25">
      <c r="A1893" s="25"/>
      <c r="O1893"/>
    </row>
    <row r="1894" spans="1:15" x14ac:dyDescent="0.25">
      <c r="A1894" s="25"/>
      <c r="O1894"/>
    </row>
    <row r="1895" spans="1:15" x14ac:dyDescent="0.25">
      <c r="A1895" s="25"/>
      <c r="O1895"/>
    </row>
    <row r="1896" spans="1:15" x14ac:dyDescent="0.25">
      <c r="A1896" s="25"/>
      <c r="O1896"/>
    </row>
    <row r="1897" spans="1:15" x14ac:dyDescent="0.25">
      <c r="A1897" s="25"/>
      <c r="O1897"/>
    </row>
    <row r="1898" spans="1:15" x14ac:dyDescent="0.25">
      <c r="A1898" s="25"/>
      <c r="O1898"/>
    </row>
    <row r="1899" spans="1:15" x14ac:dyDescent="0.25">
      <c r="A1899" s="25"/>
      <c r="O1899"/>
    </row>
    <row r="1900" spans="1:15" x14ac:dyDescent="0.25">
      <c r="A1900" s="25"/>
      <c r="O1900"/>
    </row>
    <row r="1901" spans="1:15" x14ac:dyDescent="0.25">
      <c r="A1901" s="25"/>
      <c r="O1901"/>
    </row>
    <row r="1902" spans="1:15" x14ac:dyDescent="0.25">
      <c r="A1902" s="25"/>
      <c r="O1902"/>
    </row>
    <row r="1903" spans="1:15" x14ac:dyDescent="0.25">
      <c r="A1903" s="25"/>
      <c r="O1903"/>
    </row>
    <row r="1904" spans="1:15" x14ac:dyDescent="0.25">
      <c r="A1904" s="25"/>
      <c r="O1904"/>
    </row>
    <row r="1905" spans="1:15" x14ac:dyDescent="0.25">
      <c r="A1905" s="25"/>
      <c r="O1905"/>
    </row>
    <row r="1906" spans="1:15" x14ac:dyDescent="0.25">
      <c r="A1906" s="25"/>
      <c r="O1906"/>
    </row>
    <row r="1907" spans="1:15" x14ac:dyDescent="0.25">
      <c r="A1907" s="25"/>
      <c r="O1907"/>
    </row>
    <row r="1908" spans="1:15" x14ac:dyDescent="0.25">
      <c r="A1908" s="25"/>
      <c r="O1908"/>
    </row>
    <row r="1909" spans="1:15" x14ac:dyDescent="0.25">
      <c r="A1909" s="25"/>
      <c r="O1909"/>
    </row>
    <row r="1910" spans="1:15" x14ac:dyDescent="0.25">
      <c r="A1910" s="25"/>
      <c r="O1910"/>
    </row>
    <row r="1911" spans="1:15" x14ac:dyDescent="0.25">
      <c r="A1911" s="25"/>
      <c r="O1911"/>
    </row>
    <row r="1912" spans="1:15" x14ac:dyDescent="0.25">
      <c r="A1912" s="25"/>
      <c r="O1912"/>
    </row>
    <row r="1913" spans="1:15" x14ac:dyDescent="0.25">
      <c r="A1913" s="25"/>
      <c r="O1913"/>
    </row>
    <row r="1914" spans="1:15" x14ac:dyDescent="0.25">
      <c r="A1914" s="25"/>
      <c r="O1914"/>
    </row>
    <row r="1915" spans="1:15" x14ac:dyDescent="0.25">
      <c r="A1915" s="25"/>
      <c r="O1915"/>
    </row>
    <row r="1916" spans="1:15" x14ac:dyDescent="0.25">
      <c r="A1916" s="25"/>
      <c r="O1916"/>
    </row>
    <row r="1917" spans="1:15" x14ac:dyDescent="0.25">
      <c r="A1917" s="25"/>
      <c r="O1917"/>
    </row>
    <row r="1918" spans="1:15" x14ac:dyDescent="0.25">
      <c r="A1918" s="25"/>
      <c r="O1918"/>
    </row>
    <row r="1919" spans="1:15" x14ac:dyDescent="0.25">
      <c r="A1919" s="25"/>
      <c r="O1919"/>
    </row>
    <row r="1920" spans="1:15" x14ac:dyDescent="0.25">
      <c r="A1920" s="25"/>
      <c r="O1920"/>
    </row>
    <row r="1921" spans="1:15" x14ac:dyDescent="0.25">
      <c r="A1921" s="25"/>
      <c r="O1921"/>
    </row>
    <row r="1922" spans="1:15" x14ac:dyDescent="0.25">
      <c r="A1922" s="25"/>
      <c r="O1922"/>
    </row>
    <row r="1923" spans="1:15" x14ac:dyDescent="0.25">
      <c r="A1923" s="25"/>
      <c r="O1923"/>
    </row>
    <row r="1924" spans="1:15" x14ac:dyDescent="0.25">
      <c r="A1924" s="25"/>
      <c r="O1924"/>
    </row>
    <row r="1925" spans="1:15" x14ac:dyDescent="0.25">
      <c r="A1925" s="25"/>
      <c r="O1925"/>
    </row>
    <row r="1926" spans="1:15" x14ac:dyDescent="0.25">
      <c r="A1926" s="25"/>
      <c r="O1926"/>
    </row>
    <row r="1927" spans="1:15" x14ac:dyDescent="0.25">
      <c r="A1927" s="25"/>
      <c r="O1927"/>
    </row>
    <row r="1928" spans="1:15" x14ac:dyDescent="0.25">
      <c r="A1928" s="25"/>
      <c r="O1928"/>
    </row>
    <row r="1929" spans="1:15" x14ac:dyDescent="0.25">
      <c r="A1929" s="25"/>
      <c r="O1929"/>
    </row>
    <row r="1930" spans="1:15" x14ac:dyDescent="0.25">
      <c r="A1930" s="25"/>
      <c r="O1930"/>
    </row>
    <row r="1931" spans="1:15" x14ac:dyDescent="0.25">
      <c r="A1931" s="25"/>
      <c r="O1931"/>
    </row>
    <row r="1932" spans="1:15" x14ac:dyDescent="0.25">
      <c r="A1932" s="25"/>
      <c r="O1932"/>
    </row>
    <row r="1933" spans="1:15" x14ac:dyDescent="0.25">
      <c r="A1933" s="25"/>
      <c r="O1933"/>
    </row>
    <row r="1934" spans="1:15" x14ac:dyDescent="0.25">
      <c r="A1934" s="25"/>
      <c r="O1934"/>
    </row>
    <row r="1935" spans="1:15" x14ac:dyDescent="0.25">
      <c r="A1935" s="25"/>
      <c r="O1935"/>
    </row>
    <row r="1936" spans="1:15" x14ac:dyDescent="0.25">
      <c r="A1936" s="25"/>
      <c r="O1936"/>
    </row>
    <row r="1937" spans="1:15" x14ac:dyDescent="0.25">
      <c r="A1937" s="25"/>
      <c r="O1937"/>
    </row>
    <row r="1938" spans="1:15" x14ac:dyDescent="0.25">
      <c r="A1938" s="25"/>
      <c r="O1938"/>
    </row>
    <row r="1939" spans="1:15" x14ac:dyDescent="0.25">
      <c r="A1939" s="25"/>
      <c r="O1939"/>
    </row>
    <row r="1940" spans="1:15" x14ac:dyDescent="0.25">
      <c r="A1940" s="25"/>
      <c r="O1940"/>
    </row>
    <row r="1941" spans="1:15" x14ac:dyDescent="0.25">
      <c r="A1941" s="25"/>
      <c r="O1941"/>
    </row>
    <row r="1942" spans="1:15" x14ac:dyDescent="0.25">
      <c r="A1942" s="25"/>
      <c r="O1942"/>
    </row>
    <row r="1943" spans="1:15" x14ac:dyDescent="0.25">
      <c r="A1943" s="25"/>
      <c r="O1943"/>
    </row>
    <row r="1944" spans="1:15" x14ac:dyDescent="0.25">
      <c r="A1944" s="25"/>
      <c r="O1944"/>
    </row>
    <row r="1945" spans="1:15" x14ac:dyDescent="0.25">
      <c r="A1945" s="25"/>
      <c r="O1945"/>
    </row>
    <row r="1946" spans="1:15" x14ac:dyDescent="0.25">
      <c r="A1946" s="25"/>
      <c r="O1946"/>
    </row>
    <row r="1947" spans="1:15" x14ac:dyDescent="0.25">
      <c r="A1947" s="25"/>
      <c r="O1947"/>
    </row>
    <row r="1948" spans="1:15" x14ac:dyDescent="0.25">
      <c r="A1948" s="25"/>
      <c r="O1948"/>
    </row>
    <row r="1949" spans="1:15" x14ac:dyDescent="0.25">
      <c r="A1949" s="25"/>
      <c r="O1949"/>
    </row>
    <row r="1950" spans="1:15" x14ac:dyDescent="0.25">
      <c r="A1950" s="25"/>
      <c r="O1950"/>
    </row>
    <row r="1951" spans="1:15" x14ac:dyDescent="0.25">
      <c r="A1951" s="25"/>
      <c r="O1951"/>
    </row>
    <row r="1952" spans="1:15" x14ac:dyDescent="0.25">
      <c r="A1952" s="25"/>
      <c r="O1952"/>
    </row>
    <row r="1953" spans="1:15" x14ac:dyDescent="0.25">
      <c r="A1953" s="25"/>
      <c r="O1953"/>
    </row>
    <row r="1954" spans="1:15" x14ac:dyDescent="0.25">
      <c r="A1954" s="25"/>
      <c r="O1954"/>
    </row>
    <row r="1955" spans="1:15" x14ac:dyDescent="0.25">
      <c r="A1955" s="25"/>
      <c r="O1955"/>
    </row>
    <row r="1956" spans="1:15" x14ac:dyDescent="0.25">
      <c r="A1956" s="25"/>
      <c r="O1956"/>
    </row>
    <row r="1957" spans="1:15" x14ac:dyDescent="0.25">
      <c r="A1957" s="25"/>
      <c r="O1957"/>
    </row>
    <row r="1958" spans="1:15" x14ac:dyDescent="0.25">
      <c r="A1958" s="25"/>
      <c r="O1958"/>
    </row>
    <row r="1959" spans="1:15" x14ac:dyDescent="0.25">
      <c r="A1959" s="25"/>
      <c r="O1959"/>
    </row>
    <row r="1960" spans="1:15" x14ac:dyDescent="0.25">
      <c r="A1960" s="25"/>
      <c r="O1960"/>
    </row>
    <row r="1961" spans="1:15" x14ac:dyDescent="0.25">
      <c r="A1961" s="25"/>
      <c r="O1961"/>
    </row>
    <row r="1962" spans="1:15" x14ac:dyDescent="0.25">
      <c r="A1962" s="25"/>
      <c r="O1962"/>
    </row>
    <row r="1963" spans="1:15" x14ac:dyDescent="0.25">
      <c r="A1963" s="25"/>
      <c r="O1963"/>
    </row>
    <row r="1964" spans="1:15" x14ac:dyDescent="0.25">
      <c r="A1964" s="25"/>
      <c r="O1964"/>
    </row>
    <row r="1965" spans="1:15" x14ac:dyDescent="0.25">
      <c r="A1965" s="25"/>
      <c r="O1965"/>
    </row>
    <row r="1966" spans="1:15" x14ac:dyDescent="0.25">
      <c r="A1966" s="25"/>
      <c r="O1966"/>
    </row>
    <row r="1967" spans="1:15" x14ac:dyDescent="0.25">
      <c r="A1967" s="25"/>
      <c r="O1967"/>
    </row>
    <row r="1968" spans="1:15" x14ac:dyDescent="0.25">
      <c r="A1968" s="25"/>
      <c r="O1968"/>
    </row>
    <row r="1969" spans="1:15" x14ac:dyDescent="0.25">
      <c r="A1969" s="25"/>
      <c r="O1969"/>
    </row>
    <row r="1970" spans="1:15" x14ac:dyDescent="0.25">
      <c r="A1970" s="25"/>
      <c r="O1970"/>
    </row>
    <row r="1971" spans="1:15" x14ac:dyDescent="0.25">
      <c r="A1971" s="25"/>
      <c r="O1971"/>
    </row>
    <row r="1972" spans="1:15" x14ac:dyDescent="0.25">
      <c r="A1972" s="25"/>
      <c r="O1972"/>
    </row>
    <row r="1973" spans="1:15" x14ac:dyDescent="0.25">
      <c r="A1973" s="25"/>
      <c r="O1973"/>
    </row>
    <row r="1974" spans="1:15" x14ac:dyDescent="0.25">
      <c r="A1974" s="25"/>
      <c r="O1974"/>
    </row>
    <row r="1975" spans="1:15" x14ac:dyDescent="0.25">
      <c r="A1975" s="25"/>
      <c r="O1975"/>
    </row>
    <row r="1976" spans="1:15" x14ac:dyDescent="0.25">
      <c r="A1976" s="25"/>
      <c r="O1976"/>
    </row>
    <row r="1977" spans="1:15" x14ac:dyDescent="0.25">
      <c r="A1977" s="25"/>
      <c r="O1977"/>
    </row>
    <row r="1978" spans="1:15" x14ac:dyDescent="0.25">
      <c r="A1978" s="25"/>
      <c r="O1978"/>
    </row>
  </sheetData>
  <autoFilter ref="N1:P1422" xr:uid="{77B3A925-33F5-4A7F-BC1D-E187F280E39A}"/>
  <sortState xmlns:xlrd2="http://schemas.microsoft.com/office/spreadsheetml/2017/richdata2" ref="A3:A1977">
    <sortCondition ref="A2:A1977"/>
  </sortState>
  <mergeCells count="3">
    <mergeCell ref="H1:J1"/>
    <mergeCell ref="E1:G1"/>
    <mergeCell ref="B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Por Lote e UF</vt:lpstr>
      <vt:lpstr>Dias Improdutivos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CGPLAN - Gabriel Philipe Pereira dos Santos</dc:creator>
  <cp:lastModifiedBy>CGPLAN - Gabriel Philipe Pereira dos Santos</cp:lastModifiedBy>
  <dcterms:created xsi:type="dcterms:W3CDTF">2025-06-02T18:07:13Z</dcterms:created>
  <dcterms:modified xsi:type="dcterms:W3CDTF">2025-07-10T20:24:03Z</dcterms:modified>
</cp:coreProperties>
</file>